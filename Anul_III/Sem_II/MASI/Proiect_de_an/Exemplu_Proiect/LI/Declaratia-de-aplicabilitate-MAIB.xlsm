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workbookPr codeName="ThisWorkbook" defaultThemeVersion="124226"/>
  <mc:AlternateContent xmlns:mc="http://schemas.openxmlformats.org/markup-compatibility/2006">
    <mc:Choice Requires="x15">
      <x15ac:absPath xmlns:x15ac="http://schemas.microsoft.com/office/spreadsheetml/2010/11/ac" url="C:\Users\user\Downloads\"/>
    </mc:Choice>
  </mc:AlternateContent>
  <xr:revisionPtr revIDLastSave="0" documentId="13_ncr:1_{8EE26BC9-0CFF-46CC-96EE-A4389CD42DAE}" xr6:coauthVersionLast="47" xr6:coauthVersionMax="47" xr10:uidLastSave="{00000000-0000-0000-0000-000000000000}"/>
  <bookViews>
    <workbookView xWindow="-120" yWindow="-120" windowWidth="29040" windowHeight="15840" tabRatio="760" activeTab="6" xr2:uid="{00000000-000D-0000-FFFF-FFFF00000000}"/>
  </bookViews>
  <sheets>
    <sheet name="LOGO" sheetId="7" r:id="rId1"/>
    <sheet name="How to Use" sheetId="1" r:id="rId2"/>
    <sheet name="How to Score Yourself" sheetId="2" r:id="rId3"/>
    <sheet name="Assessment Tool" sheetId="3" r:id="rId4"/>
    <sheet name="Tool Mapped to Standards" sheetId="4" r:id="rId5"/>
    <sheet name="Lookups" sheetId="5" r:id="rId6"/>
    <sheet name="Statement of Aplicability" sheetId="9" r:id="rId7"/>
  </sheets>
  <definedNames>
    <definedName name="textbox">#REF!</definedName>
    <definedName name="_xlnm.Print_Titles" localSheetId="3">'Assessment Tool'!$15:15</definedName>
    <definedName name="_xlnm.Print_Area" localSheetId="3">'Assessment Tool'!$A$1:$G$135</definedName>
    <definedName name="_xlnm.Print_Area" localSheetId="2">'How to Score Yourself'!$A$1:$H$8</definedName>
  </definedNames>
  <calcPr calcId="191029" concurrentCalc="0"/>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124" i="3" l="1"/>
  <c r="E20" i="3"/>
  <c r="E24" i="3"/>
  <c r="E32" i="3"/>
  <c r="E38" i="3"/>
  <c r="E44" i="3"/>
  <c r="E41" i="3"/>
  <c r="E58" i="3"/>
  <c r="E67" i="3"/>
  <c r="E62" i="3"/>
  <c r="E70" i="3"/>
  <c r="E91" i="3"/>
  <c r="E98" i="3"/>
  <c r="E114" i="3"/>
  <c r="E121" i="3"/>
  <c r="E126" i="3"/>
  <c r="F135" i="3"/>
  <c r="E16" i="3"/>
</calcChain>
</file>

<file path=xl/sharedStrings.xml><?xml version="1.0" encoding="utf-8"?>
<sst xmlns="http://schemas.openxmlformats.org/spreadsheetml/2006/main" count="1236" uniqueCount="954">
  <si>
    <t>ISO 27001:2013</t>
  </si>
  <si>
    <t>Definitions</t>
  </si>
  <si>
    <t>Original ISO text</t>
  </si>
  <si>
    <t>EDUCAUSE Information Security Maturity Index (Core Data Service, Module 7)</t>
  </si>
  <si>
    <t>NIST</t>
  </si>
  <si>
    <t>COBIT</t>
  </si>
  <si>
    <t>Not Performed</t>
  </si>
  <si>
    <r>
      <rPr>
        <sz val="10"/>
        <color theme="1"/>
        <rFont val="Calibri"/>
        <charset val="134"/>
      </rPr>
      <t xml:space="preserve">There are </t>
    </r>
    <r>
      <rPr>
        <b/>
        <sz val="10"/>
        <color theme="1"/>
        <rFont val="Calibri"/>
        <charset val="134"/>
      </rPr>
      <t>no security controls or plans in place</t>
    </r>
    <r>
      <rPr>
        <sz val="10"/>
        <color theme="1"/>
        <rFont val="Calibri"/>
        <charset val="134"/>
      </rPr>
      <t>. The controls are nonexistent.</t>
    </r>
  </si>
  <si>
    <t>Non-existent</t>
  </si>
  <si>
    <t>Performed Informally</t>
  </si>
  <si>
    <r>
      <rPr>
        <sz val="10"/>
        <color theme="1"/>
        <rFont val="Calibri"/>
        <charset val="134"/>
      </rPr>
      <t xml:space="preserve">Base practices of the control area are generally performed on an </t>
    </r>
    <r>
      <rPr>
        <b/>
        <sz val="10"/>
        <color theme="1"/>
        <rFont val="Calibri"/>
        <charset val="134"/>
      </rPr>
      <t>ad hoc</t>
    </r>
    <r>
      <rPr>
        <sz val="10"/>
        <color theme="1"/>
        <rFont val="Calibri"/>
        <charset val="134"/>
      </rPr>
      <t xml:space="preserve"> basis. There is general agreement within the organization that identified actions should be performed, and they are performed when required. The practices are not formally adopted, tracked, and reported on.</t>
    </r>
  </si>
  <si>
    <t>Base practices of the process area are generally performed. The performance of these base practices may not be rigorously planned and tracked. Performance depends on individual knowledge and effort. Work products of the process area testify to their performance. Individuals within the organization recognize that an action should be performed, and there is general agreement that this action is performed as and when required. There are identifiable work products for the process.</t>
  </si>
  <si>
    <t>Absent/ad hoc</t>
  </si>
  <si>
    <t>Initial</t>
  </si>
  <si>
    <t>Policies</t>
  </si>
  <si>
    <t>Initial/Ad-hoc</t>
  </si>
  <si>
    <t>Planned</t>
  </si>
  <si>
    <r>
      <rPr>
        <sz val="10"/>
        <color theme="1"/>
        <rFont val="Calibri"/>
        <charset val="134"/>
      </rPr>
      <t xml:space="preserve">The base requirements for the control area are planned, implemented, and </t>
    </r>
    <r>
      <rPr>
        <b/>
        <sz val="10"/>
        <color theme="1"/>
        <rFont val="Calibri"/>
        <charset val="134"/>
      </rPr>
      <t>repeatable</t>
    </r>
    <r>
      <rPr>
        <sz val="10"/>
        <color theme="1"/>
        <rFont val="Calibri"/>
        <charset val="134"/>
      </rPr>
      <t xml:space="preserve">. </t>
    </r>
  </si>
  <si>
    <t>Performance of the base practices in the process area is planned and tracked. Performance according to specified procedures is verified. Work products conform to specified standards and requirements.</t>
  </si>
  <si>
    <t>Repeatable</t>
  </si>
  <si>
    <t>Managed</t>
  </si>
  <si>
    <t xml:space="preserve">Procedures  </t>
  </si>
  <si>
    <t>Repeatable but Intuitive</t>
  </si>
  <si>
    <t>Well Defined</t>
  </si>
  <si>
    <r>
      <rPr>
        <sz val="10"/>
        <color theme="1"/>
        <rFont val="Calibri"/>
        <charset val="134"/>
      </rPr>
      <t xml:space="preserve">The primary distinction from Level 2, Planned and Tracked, is that in addition to being </t>
    </r>
    <r>
      <rPr>
        <b/>
        <sz val="10"/>
        <color theme="1"/>
        <rFont val="Calibri"/>
        <charset val="134"/>
      </rPr>
      <t>repeatable</t>
    </r>
    <r>
      <rPr>
        <sz val="10"/>
        <color theme="1"/>
        <rFont val="Calibri"/>
        <charset val="134"/>
      </rPr>
      <t xml:space="preserve"> the processes used are more mature:</t>
    </r>
    <r>
      <rPr>
        <b/>
        <sz val="10"/>
        <color theme="1"/>
        <rFont val="Calibri"/>
        <charset val="134"/>
      </rPr>
      <t xml:space="preserve"> documented</t>
    </r>
    <r>
      <rPr>
        <sz val="10"/>
        <color theme="1"/>
        <rFont val="Calibri"/>
        <charset val="134"/>
      </rPr>
      <t xml:space="preserve">, </t>
    </r>
    <r>
      <rPr>
        <b/>
        <sz val="10"/>
        <color theme="1"/>
        <rFont val="Calibri"/>
        <charset val="134"/>
      </rPr>
      <t>approved, and implemented organization-wide</t>
    </r>
    <r>
      <rPr>
        <sz val="10"/>
        <color theme="1"/>
        <rFont val="Calibri"/>
        <charset val="134"/>
      </rPr>
      <t>.</t>
    </r>
  </si>
  <si>
    <t>Base practices are performed according to a well-defined process using approved, tailored versions of standard, documented processes. The primary distinction from Level 2, Planned and Tracked, is that the process is planned and managed using an organization-wide standard process.</t>
  </si>
  <si>
    <t>Defined</t>
  </si>
  <si>
    <t>Implementation</t>
  </si>
  <si>
    <t>Defined Process</t>
  </si>
  <si>
    <t>Quantitatively Controlled</t>
  </si>
  <si>
    <r>
      <rPr>
        <sz val="10"/>
        <color theme="1"/>
        <rFont val="Calibri"/>
        <charset val="134"/>
      </rPr>
      <t xml:space="preserve">The primary distinction from Level 3, Well Defined, is that the process is </t>
    </r>
    <r>
      <rPr>
        <b/>
        <sz val="10"/>
        <color theme="1"/>
        <rFont val="Calibri"/>
        <charset val="134"/>
      </rPr>
      <t>measured and verified</t>
    </r>
    <r>
      <rPr>
        <sz val="10"/>
        <color theme="1"/>
        <rFont val="Calibri"/>
        <charset val="134"/>
      </rPr>
      <t xml:space="preserve"> (e.g., auditable).</t>
    </r>
  </si>
  <si>
    <t>Detailed measures of performance are collected and analyzed. This leads to a quantitative understanding of process capability and an improved ability to predict performance. Performance is objectively managed, and the quality of work products is quantitatively known. The primary distinction from the Well Defined level is that the defined process is quantitatively understood and controlled.</t>
  </si>
  <si>
    <t>Quantitatively Managed</t>
  </si>
  <si>
    <t>Test</t>
  </si>
  <si>
    <t>Managed &amp; Measurable</t>
  </si>
  <si>
    <t>Continuously Improving</t>
  </si>
  <si>
    <r>
      <rPr>
        <sz val="10"/>
        <color theme="1"/>
        <rFont val="Calibri"/>
        <charset val="134"/>
      </rPr>
      <t xml:space="preserve">The primary distinction from Level 4, Quantitatively Controlled, is that the defined, standard processes are </t>
    </r>
    <r>
      <rPr>
        <b/>
        <sz val="10"/>
        <color theme="1"/>
        <rFont val="Calibri"/>
        <charset val="134"/>
      </rPr>
      <t>regularly reviewed and updated</t>
    </r>
    <r>
      <rPr>
        <sz val="10"/>
        <color theme="1"/>
        <rFont val="Calibri"/>
        <charset val="134"/>
      </rPr>
      <t>. Improvements reflect an understanding of, and response to, a vulnerability's impact.</t>
    </r>
  </si>
  <si>
    <t>Quantitative performance goals (targets) for process effectiveness and efficiency are established based on the business goals of the organization. Continuous process improvement against these goals is enabled by quantitative feedback from performing the defined processes and from piloting innovative ideas and technologies. The primary distinction from the quantitatively controlled level is that the defined process and the standard process undergo continuous refinement and improvement, based on a quantitative understanding of the impact of changes to these processes.</t>
  </si>
  <si>
    <t>Optimized</t>
  </si>
  <si>
    <t>Integration</t>
  </si>
  <si>
    <r>
      <rPr>
        <sz val="10"/>
        <color theme="1"/>
        <rFont val="Times New Roman"/>
        <charset val="134"/>
      </rPr>
      <t xml:space="preserve"> </t>
    </r>
    <r>
      <rPr>
        <sz val="10"/>
        <color theme="1"/>
        <rFont val="Calibri"/>
        <charset val="134"/>
      </rPr>
      <t xml:space="preserve">Optimized </t>
    </r>
  </si>
  <si>
    <t xml:space="preserve">This section is designed to help you benchmark your information security Program against universities of similar size, budget, and characteristics. </t>
  </si>
  <si>
    <r>
      <rPr>
        <b/>
        <sz val="11"/>
        <rFont val="Calibri"/>
        <charset val="134"/>
      </rPr>
      <t>Annual budget of the organization</t>
    </r>
    <r>
      <rPr>
        <sz val="11"/>
        <rFont val="Calibri"/>
        <charset val="134"/>
      </rPr>
      <t xml:space="preserve">
</t>
    </r>
  </si>
  <si>
    <t>What is your institution's Carnegie designation?</t>
  </si>
  <si>
    <t>Estimated annual budget for information security</t>
  </si>
  <si>
    <t>Number of employees</t>
  </si>
  <si>
    <t>Number of employees with information security role</t>
  </si>
  <si>
    <t>Number of students</t>
  </si>
  <si>
    <t>Percentage of information security operations outsourced? (contractors, managed security services, cloud)</t>
  </si>
  <si>
    <t xml:space="preserve">
</t>
  </si>
  <si>
    <t xml:space="preserve">Does your organization have academic or research programs in a sensitive area that may make you a target of physical or cyberattack from any groups (e.g., ITAR, human subjects, DoD-sponsored applied research, etc.)? </t>
  </si>
  <si>
    <t>This tool can be used to assess an enterprise information security program, department, or other.  Please select from the drop down box -&gt;</t>
  </si>
  <si>
    <t>Name of person completing assessment:</t>
  </si>
  <si>
    <t>Name of department or institution (if applicable):</t>
  </si>
  <si>
    <t>Date completed</t>
  </si>
  <si>
    <t>ISO Section Descriptions</t>
  </si>
  <si>
    <t>Questions</t>
  </si>
  <si>
    <t>Not Performed = 0; Performed Informally = 1; 
Planned = 2; Well Defined = 3; 
Quantitatively Controlled = 4; Continuously Improving = 5; Not Applicable = Blank
NOTE: 5 is the highest level of maturity</t>
  </si>
  <si>
    <t>Item Score</t>
  </si>
  <si>
    <t>Category Score</t>
  </si>
  <si>
    <t>Help</t>
  </si>
  <si>
    <t>Risk Management (ISO 27005:2011)</t>
  </si>
  <si>
    <t>Total Score for Risk Management -&gt;</t>
  </si>
  <si>
    <t xml:space="preserve">Does your institution have a risk management program? </t>
  </si>
  <si>
    <t xml:space="preserve">
</t>
  </si>
  <si>
    <r>
      <rPr>
        <b/>
        <sz val="12"/>
        <rFont val="Calibri"/>
        <charset val="134"/>
      </rPr>
      <t>Risk</t>
    </r>
    <r>
      <rPr>
        <sz val="12"/>
        <rFont val="Calibri"/>
        <charset val="134"/>
      </rPr>
      <t xml:space="preserve"> Management/</t>
    </r>
    <r>
      <rPr>
        <b/>
        <sz val="12"/>
        <rFont val="Calibri"/>
        <charset val="134"/>
      </rPr>
      <t>Assessment &amp; Treatment</t>
    </r>
  </si>
  <si>
    <t>Does your institution have a process for identifying and assessing reasonably foreseeable internal and external risks to the security, confidentiality, and/or integrity of any electronic, paper, or other records containing sensitive information?</t>
  </si>
  <si>
    <t xml:space="preserve">Assessing Security Risks </t>
  </si>
  <si>
    <t xml:space="preserve">Does your organization conduct routine risk assessments to identify the key objectives that need to be supported by your information security program? </t>
  </si>
  <si>
    <t>Information Security Policies (ISO 5)</t>
  </si>
  <si>
    <t>Total Score for ISO 5-&gt;</t>
  </si>
  <si>
    <t>Does your institution have an information security policy that has been approved by management?</t>
  </si>
  <si>
    <t>Information Security Policy Document</t>
  </si>
  <si>
    <t xml:space="preserve">Has it been published and communicated to all relevant parties? 
</t>
  </si>
  <si>
    <t xml:space="preserve">Review of Information Security Policy </t>
  </si>
  <si>
    <t>Does your institution review the policy at defined intervals to encompass significant change and monitor for compliance?</t>
  </si>
  <si>
    <t xml:space="preserve">Organization of Information Security (ISO 6) </t>
  </si>
  <si>
    <t>Total Score for ISO 6 -&gt;</t>
  </si>
  <si>
    <t>Management Commitment to information security</t>
  </si>
  <si>
    <t xml:space="preserve">Does your information security function have the authority it needs to manage and ensure compliance with the information security program? </t>
  </si>
  <si>
    <t>Information security Co-ordination</t>
  </si>
  <si>
    <t>Does your institution have an individual with enterprise-wide (campus) information security responsibility and authority written in their job description, or equivalent? Note: This may be the CIO, CISO, CSO, or other.</t>
  </si>
  <si>
    <t xml:space="preserve">Allocation of information security responsibilities </t>
  </si>
  <si>
    <t xml:space="preserve">Is responsibility clearly assigned for all areas of the information security architecture, compliance, processes, and audits? </t>
  </si>
  <si>
    <t xml:space="preserve">Authorization process for Information Processing facilities </t>
  </si>
  <si>
    <t>Is there a formal process for having the individual with information security responsibility assess and sign off on appropriate hardware, software, and services, ensuring they follow security policies and requirements?</t>
  </si>
  <si>
    <t>Contact with authorities</t>
  </si>
  <si>
    <t xml:space="preserve">Does your institution maintain relationships with local authorities? 
</t>
  </si>
  <si>
    <t>Contact with special interest groups</t>
  </si>
  <si>
    <t>Does your institution participate with local or national security groups (e.g., REN-ISAC, EDUCAUSE, InfraGard, Information Systems Security Association, etc.)?</t>
  </si>
  <si>
    <t>Independent review of information security</t>
  </si>
  <si>
    <t>Does your institution have independent security reviews completed at planned intervals or when significant changes to the environment occur?</t>
  </si>
  <si>
    <t>Human Resource Security (ISO 7)</t>
  </si>
  <si>
    <t>Total Score for ISO 7 -&gt;</t>
  </si>
  <si>
    <t>Management Responsibility</t>
  </si>
  <si>
    <t>Do all individuals interacting with university systems receive information security awareness training?</t>
  </si>
  <si>
    <t>Information security awareness, education and training</t>
  </si>
  <si>
    <t xml:space="preserve">Does your institution conduct specialized role-based training? 
</t>
  </si>
  <si>
    <t xml:space="preserve">Do the information security programs clearly state responsibilities, liabilities, and consequences? </t>
  </si>
  <si>
    <t>Termination responsibility</t>
  </si>
  <si>
    <t xml:space="preserve">Does your institution have a process for revoking system and building access and returning assigned assets? </t>
  </si>
  <si>
    <t>Return of assets</t>
  </si>
  <si>
    <t>Does your institution have a process for revoking system access when there is a position change or when responsibilities change?</t>
  </si>
  <si>
    <t xml:space="preserve">Asset Management (ISO 8) </t>
  </si>
  <si>
    <t>Total Score for ISO 8-&gt;</t>
  </si>
  <si>
    <t>Inventory of assets</t>
  </si>
  <si>
    <t xml:space="preserve">Has your organization identified critical information assets and the functions that rely on them? </t>
  </si>
  <si>
    <t>Classification Guidelines</t>
  </si>
  <si>
    <t xml:space="preserve">Does your institution classify information to indicate the appropriate levels of information security? </t>
  </si>
  <si>
    <t>Access Control (ISO 9)</t>
  </si>
  <si>
    <t>Total Score for ISO 9-&gt;</t>
  </si>
  <si>
    <t>Access control Policy</t>
  </si>
  <si>
    <t xml:space="preserve">Does your institution have an access control policy for authorizing and revoking access rights to information systems? 
</t>
  </si>
  <si>
    <t>User Registration</t>
  </si>
  <si>
    <t xml:space="preserve">Does your institution have a process in place for granting and revoking appropriate user access?
</t>
  </si>
  <si>
    <t>Privilege Management (covered by #2)</t>
  </si>
  <si>
    <t>User password management</t>
  </si>
  <si>
    <r>
      <rPr>
        <sz val="12"/>
        <rFont val="Calibri"/>
        <charset val="134"/>
      </rPr>
      <t xml:space="preserve">Does your institution have a password management program that follows current security standards? </t>
    </r>
    <r>
      <rPr>
        <strike/>
        <sz val="12"/>
        <rFont val="Calibri"/>
        <charset val="134"/>
      </rPr>
      <t xml:space="preserve">
</t>
    </r>
  </si>
  <si>
    <t>Review of user access rights</t>
  </si>
  <si>
    <t xml:space="preserve">Does your institution have procedures to regularly review users' access to ensure only needed privileges are applied? </t>
  </si>
  <si>
    <t>User authentication for external connections</t>
  </si>
  <si>
    <t xml:space="preserve">Does your institution employ specific measures to secure remote access services? </t>
  </si>
  <si>
    <t>Network Routing control</t>
  </si>
  <si>
    <t xml:space="preserve">Does your institution employ technologies to block or restrict unencrypted sensitive information from traveling to untrusted networks? </t>
  </si>
  <si>
    <t>Secure Log-on procedures</t>
  </si>
  <si>
    <t xml:space="preserve">Does your institution have mechanisms in place to manage digital identities (accounts, keys, tokens) throughout their life cycle, from registration through termination? </t>
  </si>
  <si>
    <t>User identification and authentication</t>
  </si>
  <si>
    <t>Is there a policy in place to restrict the sharing of passwords?</t>
  </si>
  <si>
    <t>Does your institution prohibit use of generic accounts with privileged access to systems?</t>
  </si>
  <si>
    <t>Password Management system</t>
  </si>
  <si>
    <t xml:space="preserve">Does your institution have an authentication system in place that applies higher levels of authentication to protect resources with higher levels of sensitivity? </t>
  </si>
  <si>
    <t>Use of system utilities</t>
  </si>
  <si>
    <t xml:space="preserve">Does your institution have an authorization system that enforces time limits lockout on login failure and defaults to minimum privileges? </t>
  </si>
  <si>
    <t>Sensitive system isolation</t>
  </si>
  <si>
    <t>Does your institution have standards for isolating sensitive data and procedures and technologies in place to protect it from unauthorized access and tampering?</t>
  </si>
  <si>
    <t>Mobile computing and communication</t>
  </si>
  <si>
    <t xml:space="preserve">Does your institution have usage guidance established for mobile computing devices (regardless of ownership) that store, process, or transmit institutional data? </t>
  </si>
  <si>
    <t>Does your institution require encryption on mobile (i.e., laptops, tablets, etc.) computing devices?</t>
  </si>
  <si>
    <t>Teleworking</t>
  </si>
  <si>
    <t>Does your institution have a telework policy that addresses multifactor access and security requirements for the end point used?</t>
  </si>
  <si>
    <t>Cryptography (ISO 10)</t>
  </si>
  <si>
    <t>Total Score for ISO 10-&gt;</t>
  </si>
  <si>
    <t>Does your institution use appropriate/vetted encryption methods to protect sensitive data in transit?</t>
  </si>
  <si>
    <t>Policy on the use of cryptographic controls</t>
  </si>
  <si>
    <t>Do your policies indicate when encryption should be used (e.g., at rest, in transit, with sensitive or confidential data, etc.)?</t>
  </si>
  <si>
    <t>Key Management</t>
  </si>
  <si>
    <t>Are standards for key management documented and employed?</t>
  </si>
  <si>
    <t>Physical and Environmental Security (ISO 11)</t>
  </si>
  <si>
    <t>Total Score for ISO 11-&gt;</t>
  </si>
  <si>
    <t>Physical entry controls</t>
  </si>
  <si>
    <t xml:space="preserve">Do your institution's data centers include controls to ensure that only authorized parties are allowed physical access? 
</t>
  </si>
  <si>
    <t>Protecting against external and environmental threats</t>
  </si>
  <si>
    <t>Does your institution have preventative measures in place to protect critical hardware and wiring from natural and man-made threats?</t>
  </si>
  <si>
    <t>Working in secure areas</t>
  </si>
  <si>
    <t>Does your institution have a process for issuing keys, codes, and/or cards that require appropriate authorization and background checks for access to these sensitive facilities?</t>
  </si>
  <si>
    <t>Equipment Maintenance</t>
  </si>
  <si>
    <t>Does your institution follow vendor-recommended guidance for maintaining equipment?</t>
  </si>
  <si>
    <t>Security of equipment off-premises</t>
  </si>
  <si>
    <t>Omit</t>
  </si>
  <si>
    <t>Secure disposal or reuse of equipment</t>
  </si>
  <si>
    <t xml:space="preserve">Does your institution have a media-sanitization process that is applied to equipment prior to disposal, reuse, or release?
</t>
  </si>
  <si>
    <t>Removal of Property</t>
  </si>
  <si>
    <t>Are there processes in place to detect the unauthorized removal of equipment, information, or software?</t>
  </si>
  <si>
    <t>Operations Security (ISO 12)</t>
  </si>
  <si>
    <t>Total Score for ISO 12-&gt;</t>
  </si>
  <si>
    <t>Documented operating Procedures</t>
  </si>
  <si>
    <t xml:space="preserve">Does your institution maintain security configuration standards for information systems and applications? </t>
  </si>
  <si>
    <t>Change Management</t>
  </si>
  <si>
    <t>Are changes to information systems tested, authorized, and reported?</t>
  </si>
  <si>
    <t>Segregation of Duties</t>
  </si>
  <si>
    <t xml:space="preserve">Are duties sufficiently segregated to ensure unintentional or unauthorized modification of information is detected? </t>
  </si>
  <si>
    <t>Separation of development and Operations facilities</t>
  </si>
  <si>
    <t>Are production systems separated from other stages of the development life cycle?</t>
  </si>
  <si>
    <t>Capacity management</t>
  </si>
  <si>
    <t xml:space="preserve">Does your institution have processes in place to monitor the utilization of key system resources and to mitigate the risk of system downtime? </t>
  </si>
  <si>
    <t>Controls against malicious code</t>
  </si>
  <si>
    <t xml:space="preserve">Are methods used to detect, quarantine, and eradicate known malicious code on information systems including workstations, servers, and mobile computing devices? </t>
  </si>
  <si>
    <t>Are methods used to detect and eradicate known malicious code transported by electronic mail, the web, or removable media?</t>
  </si>
  <si>
    <t>Information Backup</t>
  </si>
  <si>
    <t xml:space="preserve">Is your data backup process frequency consistent with the availability requirements of your organization? </t>
  </si>
  <si>
    <t>Does your institution have a process for posture checking, such as current antivirus software, firewall enabled, OS patch level, etc., of devices as they connect to your network?</t>
  </si>
  <si>
    <t xml:space="preserve">Does your institution have a segmented network architecture to provide different levels of security based on the information's classification?
</t>
  </si>
  <si>
    <t xml:space="preserve">Are Internet-accessible servers protected by more than one security layer (firewalls, network IDS, host IDS, application IDS)? </t>
  </si>
  <si>
    <t>Management of removable media</t>
  </si>
  <si>
    <t xml:space="preserve">Are controls in place to protect, track, and report status of media that has been removed from secure organization sites? </t>
  </si>
  <si>
    <t xml:space="preserve">Electronic Commerce </t>
  </si>
  <si>
    <t>Does your institution have a process in place to ensure data related to electronic commerce (e-commerce) traversing public networks is protected from fraudulent activity, unauthorized disclosure, or modification?</t>
  </si>
  <si>
    <t>Audit logging</t>
  </si>
  <si>
    <t xml:space="preserve">Are security-related activities such as hardware configuration changes, software configuration changes, access attempts, and authorization and privilege assignments automatically logged? </t>
  </si>
  <si>
    <t>Monitoring system use</t>
  </si>
  <si>
    <t>Does your institution have a process for routinely monitoring logs to detect unauthorized and anomalous activities?</t>
  </si>
  <si>
    <t>Does your institution record your log reviews (recertification/attestation)?</t>
  </si>
  <si>
    <t>Are steps taken to secure log data to prevent unauthorized access and tampering?</t>
  </si>
  <si>
    <t>Administrator and operator logs</t>
  </si>
  <si>
    <t>Does your institution regularly review administrative and operative access to audit logs?</t>
  </si>
  <si>
    <t>Fault logging</t>
  </si>
  <si>
    <t>Are file-integrity monitoring tools used to alert personnel to unauthorized modification of critical system files, configuration files, or content files and to configure the software to perform critical file comparisons at least weekly?</t>
  </si>
  <si>
    <t>Clock synchronization</t>
  </si>
  <si>
    <t xml:space="preserve">Does your institution have a process to ensure synchronization of system clocks with an authoritative source (e.g., via NTP) on a periodic basis commensurate with the potential risks? </t>
  </si>
  <si>
    <t>Communications Security (ISO 13)</t>
  </si>
  <si>
    <t>Total Score for ISO 13-&gt;</t>
  </si>
  <si>
    <t>Confidentiality agreements</t>
  </si>
  <si>
    <t>Does your institution require the use of confidentiality or nondisclosure agreements for employees and third parties?</t>
  </si>
  <si>
    <t>Does your institution routinely test your restore procedures?</t>
  </si>
  <si>
    <t>Network controls</t>
  </si>
  <si>
    <t>Does your institution continuously monitor your wired and wireless networks for unauthorized access?</t>
  </si>
  <si>
    <t>Information exchange policies and procedures</t>
  </si>
  <si>
    <t>Does your institution have policies and procedures in place to protect exchanged information (within your organization and in third-party agreements) from interception, copying, modification, misrouting, and destruction?</t>
  </si>
  <si>
    <t>Remote diagnostic and configuration port protection</t>
  </si>
  <si>
    <t>Does your institution ensure that user access to diagnostic and configuration ports is restricted to authorized individuals and applications?</t>
  </si>
  <si>
    <t>Network connection control</t>
  </si>
  <si>
    <t>Does your institution employ specific measures to prevent and detect rogue access for all of your wireless LANs?</t>
  </si>
  <si>
    <t>Systems Acquisition, Development, and Maintenance (ISO 14)</t>
  </si>
  <si>
    <t>Total Score for ISO 14-&gt;</t>
  </si>
  <si>
    <t>Security Requirements of Information Systems</t>
  </si>
  <si>
    <t>Does your institution have a process for validating the security of purchased software products and services?</t>
  </si>
  <si>
    <t>To ensure that security is an integral part of information systems.</t>
  </si>
  <si>
    <t>Security requirement analysis and specifications</t>
  </si>
  <si>
    <t>Are new information systems or enhancements to existing information systems validated against defined security requirements?</t>
  </si>
  <si>
    <t>Input data validation</t>
  </si>
  <si>
    <t>Have standards been established that address secure coding practices (e.g., input validation, proper error handling, session management, etc.), and take into consideration common application security vulnerabilities (e.g., CSRF, XSS, code injection, etc.)?</t>
  </si>
  <si>
    <t>Control of internal processing</t>
  </si>
  <si>
    <t>Are validation checks incorporated into applications to detect any corruption of information through processing errors or deliberate acts?</t>
  </si>
  <si>
    <t>Message integrity</t>
  </si>
  <si>
    <t>Are processes in place to check whether message integrity is required?</t>
  </si>
  <si>
    <t>Output data validation</t>
  </si>
  <si>
    <t>Incorrect output may occur, even in tested systems. Does your institution have validation checks to ensure data output is as expected?</t>
  </si>
  <si>
    <t>Control of Operational software</t>
  </si>
  <si>
    <t>Have you established procedures for maintaining source code during the development life cycle and while in production to reduce the risk of software corruption?</t>
  </si>
  <si>
    <t>Protection of system test data</t>
  </si>
  <si>
    <t>Does your institution apply the same security standards for sensitive test data that you apply to sensitive production data?</t>
  </si>
  <si>
    <t>Access control to program source library</t>
  </si>
  <si>
    <t>Does your institution restrict and monitor access to source code libraries to reduce the risk of corruption?</t>
  </si>
  <si>
    <t>Change Control Procedures</t>
  </si>
  <si>
    <t xml:space="preserve">Does your institution have a configuration-management process in place to ensure that changes to your critical systems are for valid business reasons and have received proper authorization? </t>
  </si>
  <si>
    <t>Technical review of applications after Operating system changes</t>
  </si>
  <si>
    <t>Are reviews and tests performed to ensure that changes made to production systems do not have an adverse impact on security or operations?</t>
  </si>
  <si>
    <t>Information Leakage</t>
  </si>
  <si>
    <t>Have you implemented tools and procedures to monitor for and prevent loss of sensitive data?</t>
  </si>
  <si>
    <t>Outsourced Software Development</t>
  </si>
  <si>
    <t>Do your contract agreements include security requirements for outsourced software development?</t>
  </si>
  <si>
    <t>Control of technical vulnerabilities</t>
  </si>
  <si>
    <t xml:space="preserve">Does your institution have a patch management strategy in place and responsibilities assigned for monitoring and promptly responding to patch releases, security bulletins, and vulnerability reports? </t>
  </si>
  <si>
    <t>Supplier Relationships (ISO 15)</t>
  </si>
  <si>
    <t>Total Score for ISO 15-&gt;</t>
  </si>
  <si>
    <t>Identification of risk related to external parties</t>
  </si>
  <si>
    <r>
      <rPr>
        <sz val="12"/>
        <rFont val="Calibri"/>
        <charset val="134"/>
      </rPr>
      <t>Does your institution specify security</t>
    </r>
    <r>
      <rPr>
        <sz val="12"/>
        <color rgb="FFFF0000"/>
        <rFont val="Calibri"/>
        <charset val="134"/>
      </rPr>
      <t xml:space="preserve"> </t>
    </r>
    <r>
      <rPr>
        <sz val="12"/>
        <rFont val="Calibri"/>
        <charset val="134"/>
      </rPr>
      <t>requirements in contracts with external entities (third party) before granting access to sensitive institutional information assets?</t>
    </r>
  </si>
  <si>
    <t>Addressing security when dealing with customers</t>
  </si>
  <si>
    <t>Are requirements addressed and remediated prior to granting access to data, assets, and information systems?</t>
  </si>
  <si>
    <t>Service Delivery</t>
  </si>
  <si>
    <t xml:space="preserve">Do agreements for external information system services specify appropriate security requirements? </t>
  </si>
  <si>
    <t>Monitoring and review of third-party services</t>
  </si>
  <si>
    <t>Does your institution have a process in place for assessing that external information system providers comply with appropriate security requirements?</t>
  </si>
  <si>
    <t xml:space="preserve">Is external information system services provider compliance with security controls monitored? </t>
  </si>
  <si>
    <t xml:space="preserve">Are external information system service agreements executed and routinely reviewed to ensure security requirements are current? </t>
  </si>
  <si>
    <t>Information Security Incident Management (ISO 16)</t>
  </si>
  <si>
    <t>Total Score for ISO 16-&gt;</t>
  </si>
  <si>
    <t>Reporting Information security events</t>
  </si>
  <si>
    <t>Are incident-handling procedures in place to report and respond to security events throughout the incident life cycle, including the definition of roles and responsibilities?</t>
  </si>
  <si>
    <t>Collection of evidence</t>
  </si>
  <si>
    <t>Are your incident response staff aware of legal or compliance requirements surrounding evidence collection?</t>
  </si>
  <si>
    <r>
      <rPr>
        <u/>
        <sz val="12"/>
        <color theme="10"/>
        <rFont val="Calibri"/>
        <charset val="134"/>
      </rPr>
      <t>Information Security Aspects of Business Continuity Management (ISO 17)</t>
    </r>
  </si>
  <si>
    <t>Total Score for ISO 17-&gt;</t>
  </si>
  <si>
    <t>Including information security in Business continuity management process</t>
  </si>
  <si>
    <t xml:space="preserve">Does your institution have a documented business continuity plan for information technology that is based on a business impact analysis, is periodically tested, and has been reviewed and approved by senior staff or the board of trustees?
</t>
  </si>
  <si>
    <t>Compliance (ISO 18)</t>
  </si>
  <si>
    <t>Total Score for ISO 18-&gt;</t>
  </si>
  <si>
    <t>Protection of organizational records</t>
  </si>
  <si>
    <t>Does your institution have a records management or data governance policy that addresses the life cycle of both paper and electronic records at your institution?</t>
  </si>
  <si>
    <t>Data Protection and privacy of personal information</t>
  </si>
  <si>
    <t>Does your institution have an enforceable data protection policy that covers personally identifiable information (PII)?</t>
  </si>
  <si>
    <t>Prevention of misuse of information processing facilities</t>
  </si>
  <si>
    <t>Does your institution have an Acceptable Use Policy that defines misuse?</t>
  </si>
  <si>
    <t>Regulation of cryptographic controls</t>
  </si>
  <si>
    <t>Does your institution provide guidance for the community on export control laws?</t>
  </si>
  <si>
    <t>Compliance with security policy</t>
  </si>
  <si>
    <t>Are standard operating procedures periodically evaluated for compliance with your organization's security policies, standards, and procedures?</t>
  </si>
  <si>
    <t>Technical compliance checking</t>
  </si>
  <si>
    <t>Does your institution perform periodic application and network layer vulnerability testing or penetration testing against critical information systems?</t>
  </si>
  <si>
    <t>Information System Audit controls</t>
  </si>
  <si>
    <t>Are you performing independent audits on information systems to identify strengths and weaknesses?</t>
  </si>
  <si>
    <t>Protection of information system audit tools</t>
  </si>
  <si>
    <t>Are audit tools properly separated from development and operational system environments to prevent any misuse or compromise?</t>
  </si>
  <si>
    <t>THE END -- overall average ------&gt;</t>
  </si>
  <si>
    <t xml:space="preserve"> </t>
  </si>
  <si>
    <t>Assessment Tool Question #</t>
  </si>
  <si>
    <t>NIST SP 800-53 r4 Controls</t>
  </si>
  <si>
    <t>NIST 800-171 r1 Controls</t>
  </si>
  <si>
    <t>NIST Cybersecurity Framework</t>
  </si>
  <si>
    <t>CIS 20 Critical Security Controls (ver 6.1)</t>
  </si>
  <si>
    <t>No direct mapping, see ISO 27005 (risk management)</t>
  </si>
  <si>
    <t>RA-1</t>
  </si>
  <si>
    <t>3.11.1</t>
  </si>
  <si>
    <t>ID.RM-1</t>
  </si>
  <si>
    <t>RA-2</t>
  </si>
  <si>
    <t>RA-3</t>
  </si>
  <si>
    <t>ID.RM-1, ID.GV-4</t>
  </si>
  <si>
    <t>5. Information Security Policies</t>
  </si>
  <si>
    <t>PL Family</t>
  </si>
  <si>
    <t>ID.GV-1</t>
  </si>
  <si>
    <t>5.1 Management direction for information security</t>
  </si>
  <si>
    <t>5.1.1 Policies for information security</t>
  </si>
  <si>
    <t>3.12.4</t>
  </si>
  <si>
    <t>Organization of Information Security (ISO 6)</t>
  </si>
  <si>
    <t>7.2.1 Management responsibilities</t>
  </si>
  <si>
    <t>PM-2, PM-3, PM-9; SP 800-39,SP 800-37</t>
  </si>
  <si>
    <t>Deleted from ISO 27002:2013</t>
  </si>
  <si>
    <t>CP-2, CP-4, IR-4, PL-1, PL-2, PM-2, SA-2;SP 800-39, SP 800-37</t>
  </si>
  <si>
    <t>6.1.1 Information security roles and responsibilities</t>
  </si>
  <si>
    <t>AC-5, AC-6, CM-9, PM-2; SP 800-39, SP 800-37</t>
  </si>
  <si>
    <t>ID.AM-6; ID.GV-2</t>
  </si>
  <si>
    <t>CA-1, CA-6, PM-10; SP 800-37</t>
  </si>
  <si>
    <t>ID.AM-6</t>
  </si>
  <si>
    <t>6.1.3 Contact with authorities</t>
  </si>
  <si>
    <t>Multiple controls with contact reference (e.g.,IR-6, SI-5), SP 800-39; SP 800-37</t>
  </si>
  <si>
    <t>DE.DP-4, RS.CO-3, RS.CO-5</t>
  </si>
  <si>
    <t>6.1.4 Contact with special interest groups</t>
  </si>
  <si>
    <t>AT-5, SI-5</t>
  </si>
  <si>
    <t>RS.CO-5</t>
  </si>
  <si>
    <t>18.2.1 Independent review of information security</t>
  </si>
  <si>
    <t>CA-2, CA-7; SP 800-39, SP 800-37</t>
  </si>
  <si>
    <t>7.2.2 Information security awareness, education and training</t>
  </si>
  <si>
    <t>AT-2, AT-3, IR-2</t>
  </si>
  <si>
    <t>3.2.1; 3.2.2</t>
  </si>
  <si>
    <t>PR.AT-1</t>
  </si>
  <si>
    <t>CSC 17</t>
  </si>
  <si>
    <t>7.2.3 Disciplinary process</t>
  </si>
  <si>
    <t>AT-3, PS-8</t>
  </si>
  <si>
    <t>PR.AT-2, PR.AT-3, PR.AT-4, PR.AT-5</t>
  </si>
  <si>
    <t>7.3 Termination and change of employment</t>
  </si>
  <si>
    <t>PS-4</t>
  </si>
  <si>
    <t>PR.AT-2, PR.AT-3, PR.AT-4, PR.AT-6</t>
  </si>
  <si>
    <t>7.3.1 Termination or change of employment responsibilities
8.1.4 Return of assets
9.2.6 Removal or adjustment of access rights
11.1 Secure areas
11.1.1 Physical security perimeter</t>
  </si>
  <si>
    <t>AC-2, PS-4, PS-5, PE-3</t>
  </si>
  <si>
    <t>PR.AC-4, PR.DS-3</t>
  </si>
  <si>
    <t>CSC 16</t>
  </si>
  <si>
    <t>11.1.2 Physical entry controls
11.1.3 Securing offices, room and facilities</t>
  </si>
  <si>
    <t>PE-3, PE-4, PE-5, PE-6</t>
  </si>
  <si>
    <t>Asset Management (ISO 8)</t>
  </si>
  <si>
    <t>8.1.1 Inventory of assets</t>
  </si>
  <si>
    <t>CM-8, CM-9, PM-5</t>
  </si>
  <si>
    <t>3.4.1</t>
  </si>
  <si>
    <t>ID.AM-1, ID.AM-2</t>
  </si>
  <si>
    <t>CSC 1 (devices), CSC 2 (software), CSC13 (data)</t>
  </si>
  <si>
    <t>8.1.2 Ownership of assets</t>
  </si>
  <si>
    <t>CM-8, CM-9, PM-5, AC-16, AC-20, PL-4, RA-2, MP-2, MP-3, SC-16</t>
  </si>
  <si>
    <t>ID.AM-5</t>
  </si>
  <si>
    <t>CSC 13</t>
  </si>
  <si>
    <t>9.1 Business requirements of access control</t>
  </si>
  <si>
    <t>AC-1</t>
  </si>
  <si>
    <t>PR.AC-1, PR.AC-4</t>
  </si>
  <si>
    <t>9.1.1 Access control policy
9.2 User access management</t>
  </si>
  <si>
    <t>AC-1, AC-3, AC-5, AC-6, AC-7, AC-9, AC-17, AC-18, AC-19, CM-5, MP-1, SI-9</t>
  </si>
  <si>
    <t>3.1.1; 3.1.2; 3.1.4; 3.1.5</t>
  </si>
  <si>
    <t>CSC 5, CSC 16</t>
  </si>
  <si>
    <t>9.2.1 User registration and deregistration 
9.2.2 User access provisioning
9.2.3 Management of privileged access rights</t>
  </si>
  <si>
    <t>AC-1, AC-2, AC-6, AC-21, IA-5, PE-1, PE-2, SI-9</t>
  </si>
  <si>
    <t>CSC 5</t>
  </si>
  <si>
    <t>9.2.4 Management of secret authentication information of users</t>
  </si>
  <si>
    <t>AC-6, IA-5</t>
  </si>
  <si>
    <t>PR.AC-4</t>
  </si>
  <si>
    <t>9.2.5 Review of user access rights
9.3 User responsibilities
9.3.1 Use of secret authentication information
11.2.8 Unattended user equipment
11.2.9 Clear desk and clear screen policy
13. Communications security
9.1.2 Access to networks and network services</t>
  </si>
  <si>
    <t>AC-1, AC-2, AC-5, AC-6, AC-11, AC-17, AC-18, AC-20, IA-2, IA-5m PE-2  PE-3, PE-5, PE-18, SC-10, MP-4</t>
  </si>
  <si>
    <t>PR.AC-3</t>
  </si>
  <si>
    <t>CSC 3</t>
  </si>
  <si>
    <t>AC-3, AC-6, AC-17, AC-18, SC-7</t>
  </si>
  <si>
    <t>PR.DS-5</t>
  </si>
  <si>
    <t>9.4 System and application access control</t>
  </si>
  <si>
    <t>AC-4, AC-17, AC-18</t>
  </si>
  <si>
    <t>PR.DS-6</t>
  </si>
  <si>
    <t>9.4.2 Secure log-on procedures</t>
  </si>
  <si>
    <t>AC-7, AC-8, AC-9, AC-10, IA-2, IA-6, IA-8, SC-10</t>
  </si>
  <si>
    <t>3.1.8</t>
  </si>
  <si>
    <t>9.2.1 User registration and deregistration
9.2.2 User access provisioning</t>
  </si>
  <si>
    <t>IA-2, IA-4, IA-5, IA-8</t>
  </si>
  <si>
    <t>9.1.1 Access control policy
9.2 User access management
9.2.3 Management of privileged access rights</t>
  </si>
  <si>
    <t>AC-5, AC-24</t>
  </si>
  <si>
    <t>3.1.4; 3.1.5; 3.1.6; 3.1.7; 3.5.3</t>
  </si>
  <si>
    <t>9.4.3 Password management system</t>
  </si>
  <si>
    <t>IA-2, IA-5</t>
  </si>
  <si>
    <t>3.5.5</t>
  </si>
  <si>
    <t>9.4.2 Secure log-on procedures 
9.4.4 Use of privileged utility programs</t>
  </si>
  <si>
    <t>AC-2, AC-3, AC-6, AC-11, AC-14, CM-5, SC-10</t>
  </si>
  <si>
    <t>3.1.6; 3.1.7; 3.1.8; 3.4.5</t>
  </si>
  <si>
    <t>9.4.1 Information access restriction 
6.2 Mobile devices and teleworking</t>
  </si>
  <si>
    <t>AC-19, SC-7; SP 800-39</t>
  </si>
  <si>
    <t>6.2.1 Mobile device policy</t>
  </si>
  <si>
    <t>AC-1, AC-17, AC-18, AC-19, PL-4, PS-6</t>
  </si>
  <si>
    <t>3.1.12; 3.1.16; 3.1.18</t>
  </si>
  <si>
    <t>CSC 14</t>
  </si>
  <si>
    <t>6.2 Mobile devices and teleworking
6.2.1 Mobile device policy
6.2.2 Teleworking</t>
  </si>
  <si>
    <t>AC-19, AC-24</t>
  </si>
  <si>
    <t>3.1.18</t>
  </si>
  <si>
    <t>10. Cryptography</t>
  </si>
  <si>
    <t>SC-13</t>
  </si>
  <si>
    <t>3.1.19</t>
  </si>
  <si>
    <t>PR.DS-2</t>
  </si>
  <si>
    <t xml:space="preserve">PR.DS-1, PR.DS-2, </t>
  </si>
  <si>
    <t>10.1.1  Policy on the use of cryptographic controls</t>
  </si>
  <si>
    <t>Multiple controls address cryptography (e.g., IA-7, SC-8, SC-9, SC-12, SC-13)</t>
  </si>
  <si>
    <t>3.13.10</t>
  </si>
  <si>
    <t>11.1.4 Protecting against external and environmental threats</t>
  </si>
  <si>
    <t>CP Family; PE-1, PE-2, PE-9, PE-10, PE-11, PE-13,PE-15</t>
  </si>
  <si>
    <t>3.10.1</t>
  </si>
  <si>
    <t>PR.PT-3, PR.AC-2</t>
  </si>
  <si>
    <t>11.1.5 Working in secure areas 
11.1.6 Delivery and loading areas 
11.2 Equipment</t>
  </si>
  <si>
    <t>AT-2, AT-3 , PL-4, PS-6, PE-1, PE-2, PE-3, PE-4, PE-6, PE-8, PE-9, PE-11, PE-12, PE-14, PE-16, PE-18</t>
  </si>
  <si>
    <t>3.10.2</t>
  </si>
  <si>
    <t>PR.IP-5, PR.DS-4</t>
  </si>
  <si>
    <t>11.2.4 Equipment maintenance 
11.2.6 Security of equipment and assets off-premises</t>
  </si>
  <si>
    <t>MA Family, MP-5, PE-1, PE-3, PE-6</t>
  </si>
  <si>
    <t>3.10.5</t>
  </si>
  <si>
    <t>PR.IP-5, PR.PT-3</t>
  </si>
  <si>
    <t>11.2.7 Secure disposal or re-use of equipment</t>
  </si>
  <si>
    <t>MP-6</t>
  </si>
  <si>
    <t>PR.MA-1</t>
  </si>
  <si>
    <t>11.2.5 Removal of assets
12. Operations security</t>
  </si>
  <si>
    <t>MP-5 , MP-6, PE-16</t>
  </si>
  <si>
    <t>3.8.3</t>
  </si>
  <si>
    <t>PR.IP-6</t>
  </si>
  <si>
    <t>12.1.1 Document operating procedures</t>
  </si>
  <si>
    <t>CM-9, PE-19, PE-20</t>
  </si>
  <si>
    <t>3.8.7</t>
  </si>
  <si>
    <t>PR.DS-3, PR.DS-5</t>
  </si>
  <si>
    <t>12.1.2 Change management</t>
  </si>
  <si>
    <t>CM-1, CM-3, CM-4, CM-5, CM-9</t>
  </si>
  <si>
    <t>3.4.1; 3.4.2</t>
  </si>
  <si>
    <t>PR.IP-1</t>
  </si>
  <si>
    <t>AC-5</t>
  </si>
  <si>
    <t>3.4.4</t>
  </si>
  <si>
    <t>PR.IP-2, PR.IP-3</t>
  </si>
  <si>
    <t>6.1.2  Segregation of duties</t>
  </si>
  <si>
    <t>CM-2</t>
  </si>
  <si>
    <t>15.2.1 Monitoring and review of supplier services</t>
  </si>
  <si>
    <t>SA-9</t>
  </si>
  <si>
    <t>PR.DS-8</t>
  </si>
  <si>
    <t>12.1.3 Capacity management</t>
  </si>
  <si>
    <t>AU-4, AU-5, CP-2, SA-2, SC-5</t>
  </si>
  <si>
    <t>DE.AE-1, PR.DS-4</t>
  </si>
  <si>
    <t>12.2.1 Controls against malware</t>
  </si>
  <si>
    <t>AC-19, AT-2, PE-20, SA-8, SC-2, SC-3, SC-7,SC-14, SC-38, SI-3, SI-7</t>
  </si>
  <si>
    <t>3.13.13; 3.14.2</t>
  </si>
  <si>
    <t>DE.CM-4, RS.MI-1, RS.MI-2</t>
  </si>
  <si>
    <t>CSC 4, CSC 8</t>
  </si>
  <si>
    <t>SI-8</t>
  </si>
  <si>
    <t>3.14.2</t>
  </si>
  <si>
    <t>CSC 7, CSC 8</t>
  </si>
  <si>
    <t>12.3.1 Information backup</t>
  </si>
  <si>
    <t>CP-9</t>
  </si>
  <si>
    <t>PR.IP-4</t>
  </si>
  <si>
    <t>CSC 10</t>
  </si>
  <si>
    <t>9.1.2  Access to networks and network services</t>
  </si>
  <si>
    <t>PE-2, PE-3, PE-6, PE-7, PE-8, PE-18</t>
  </si>
  <si>
    <t>CSC 11</t>
  </si>
  <si>
    <t>12.1.4 Separation of development, testing and operational environments
13.1.3 Segregation in networks</t>
  </si>
  <si>
    <t>SC-32</t>
  </si>
  <si>
    <t>PR.AC-5</t>
  </si>
  <si>
    <t>CSC 9, CSC 12, CSC 14</t>
  </si>
  <si>
    <t>13.1.1 Network controls</t>
  </si>
  <si>
    <t>AU-1, AU-2, AU-3, AU-4, AU-5, AU-6, AU-7, AU-9, AU-11, AU-12, AU-14, SI-4</t>
  </si>
  <si>
    <t>8.3.1 Management of removable media 
8.3.2 Disposal of media 
8.2.3 Handling of assets 
13.2 Information transfer</t>
  </si>
  <si>
    <t>PE-16, SI-12, MP Family</t>
  </si>
  <si>
    <t>PR.PT-2, PR.IP-6</t>
  </si>
  <si>
    <t>14.1.2 Securing application services on public networks
14.1.3 Protecting application services transactions</t>
  </si>
  <si>
    <t>AU-10, IA-8, SC-3, SC-7, SC-8, SC-9, SC-3, SC-14</t>
  </si>
  <si>
    <t>12.4.1 Event logging</t>
  </si>
  <si>
    <t>AU-1, AU-2, AU-3, AU-4, AU-5, AU-8, AU-11, AU-12</t>
  </si>
  <si>
    <t>PR.PT-1</t>
  </si>
  <si>
    <t>CSC 4, CSC 6</t>
  </si>
  <si>
    <t>12.4.2 Protection of log information</t>
  </si>
  <si>
    <t>AU-1, AU-6, AU-7, AU-9, PE-6, PE-8, SC-7, SI-4</t>
  </si>
  <si>
    <t>3.3.3; 3.3.5</t>
  </si>
  <si>
    <t>12.4.1 Event logging
12.4.3 Administrator and operator logs</t>
  </si>
  <si>
    <t>AU-12</t>
  </si>
  <si>
    <t>3.3.1; 3.3.2</t>
  </si>
  <si>
    <t>12.4.1 Event logging
12.4.2  Protection of log information</t>
  </si>
  <si>
    <t>AU-8, AU-9, AU-11</t>
  </si>
  <si>
    <t>3.3.8</t>
  </si>
  <si>
    <t>12.4.3 Administrator and operator logs</t>
  </si>
  <si>
    <t>AU-2, AU-12</t>
  </si>
  <si>
    <t>14.2.2 System change control procedures
12.4.1 Event logging</t>
  </si>
  <si>
    <t>SA-13</t>
  </si>
  <si>
    <t>3.14.3</t>
  </si>
  <si>
    <t>PR.DS-7</t>
  </si>
  <si>
    <t>12.4.1 Event logging
12.4.4 Clock synchronization</t>
  </si>
  <si>
    <t>AU-2, AU-12, SI-2</t>
  </si>
  <si>
    <t>3.3.1; 3.3.7</t>
  </si>
  <si>
    <t>CSC 6</t>
  </si>
  <si>
    <t>13.2.4 Confidentiality or nondisclosure agreements</t>
  </si>
  <si>
    <t>PL-4, PS-6, SA-9</t>
  </si>
  <si>
    <t>PR.IP-11</t>
  </si>
  <si>
    <t>13.1 Network security management</t>
  </si>
  <si>
    <t>CP-9, CP-10</t>
  </si>
  <si>
    <t>13.1.1 Network controls
13.1.2 Security of network services</t>
  </si>
  <si>
    <t>AC-4, AC-17, AC-18, AC-20, CA-3, CP-8, PE-5,SC-7, SC-8, SC-9, SC-10, SC-19, SC-20, SC-21, SC-22, SC-23</t>
  </si>
  <si>
    <t>3.13.1</t>
  </si>
  <si>
    <t>DE.CM-1</t>
  </si>
  <si>
    <t>CSC 15</t>
  </si>
  <si>
    <t>13.2.1 Information transfer policies and procedures 
13.2.2 Agreements on information transfer 
13.2.3 Electronic messaging</t>
  </si>
  <si>
    <t>Multiple controls; electronic messaging not addressed separately in SP 800-53. AC-1, AC-3, AC-4, AC-17, AC-18, AC-20, CA-3, PL-4, PS-6, SC-7, SC-16, SI-9, CA-3, SA-9, MP-5</t>
  </si>
  <si>
    <t>PR.DS-1, PR.DS-2, PR.DS-5, PR.IP-6</t>
  </si>
  <si>
    <t>AC-17, AC-18, AC-19, AC-20, CA-3, IA-2, IA-3, IA-8</t>
  </si>
  <si>
    <t>CSC 12</t>
  </si>
  <si>
    <t>13.1.3 Segregation in networks</t>
  </si>
  <si>
    <t>AC-3, AC-6, AC-17, AC-18, PE-3, MA-3, MA-4, SC-4</t>
  </si>
  <si>
    <t>DE.CM-7</t>
  </si>
  <si>
    <t>14. System acquisition, development and maintenance</t>
  </si>
  <si>
    <t>AC-1, AC-4, AC-17, AC-18, PE-17, PL-4, PS-6</t>
  </si>
  <si>
    <t>ID.AM-4</t>
  </si>
  <si>
    <t>14.1 Security requirements of information systems</t>
  </si>
  <si>
    <t>14.1.1 Information security requirements analysis and specification
14.1.2 Securing application services on public networks</t>
  </si>
  <si>
    <t>PL-7, PL-8, SA-1, SA-3, SA-4</t>
  </si>
  <si>
    <t>PR.IP-12</t>
  </si>
  <si>
    <t>CSC 18</t>
  </si>
  <si>
    <t>SI-10</t>
  </si>
  <si>
    <t>SI-7, SI-9, SI-10</t>
  </si>
  <si>
    <t>AU-10, SC-8, SC-23, SI-7</t>
  </si>
  <si>
    <t>10.1.2 Key management
12.5 Control of operational software</t>
  </si>
  <si>
    <t>SC-12, SC-17</t>
  </si>
  <si>
    <t>12.5.1 Installation of software on operational systems
12.6.2 Restrictions on software installation</t>
  </si>
  <si>
    <t>CM-1, CM-2, CM-3, CM-4, CM-5, CM-9, CM-10, CM-11, PL-4</t>
  </si>
  <si>
    <t>3.4.8; 3.4.9</t>
  </si>
  <si>
    <t>14.3.1 Protection of test data</t>
  </si>
  <si>
    <t>9.4.5 Access control to program source code</t>
  </si>
  <si>
    <t>AC-3, AC-6, CM-5, CM-9, MA-5, SA-10</t>
  </si>
  <si>
    <t>PR.IP-3</t>
  </si>
  <si>
    <t>12.2.1 Secure development policy</t>
  </si>
  <si>
    <t>SC-2, SC-3, SC-4, SC-5, SC-6, SC-7, SC-8, SC-9, SC-10, SC-11, SC-12, SC-13, SC-14, SC-17, SC-18, SC-20, SC-21, SC-22, SC-23</t>
  </si>
  <si>
    <t>14.2.2 System change control procedures 
14.2.3 Technical review of applications after operating platform changes 
14.2.4 Restrictions on changes to software packages</t>
  </si>
  <si>
    <t>CM-1, CM-3, CM-4, CM-5, CM-9, SA-10, SI-2</t>
  </si>
  <si>
    <t>AC-4, IR-9, PE-19</t>
  </si>
  <si>
    <t>14.2.7 Outsourced development</t>
  </si>
  <si>
    <t>CM-10, CM-11, SA-1, SA-4, SA-8, SA-9, SA-11, SA-12, SA-15, SA-17</t>
  </si>
  <si>
    <t>CSC 4</t>
  </si>
  <si>
    <t>CA-3, PM-9, RA-3, SA-1, SA-9, SC-7</t>
  </si>
  <si>
    <t>15.1.2 Addressing security within supplier agreements</t>
  </si>
  <si>
    <t>AU-16, CA-2, CA-3, PS-7, SA-9</t>
  </si>
  <si>
    <t>15.2.1 Monitoring and review of supplier services
15.2.2 Managing changes to supplier services</t>
  </si>
  <si>
    <t>RA-3, SA-9, SA-10</t>
  </si>
  <si>
    <t>15.1.1 Information security policy for supplier relationships
15.1.2 Addressing security within supplier agreements</t>
  </si>
  <si>
    <t>AC-1, AT-1, AU-1, CA-1, CM-1, CP-1, IA-1, IA-7, IR-1, MA-1, MP-1, PE-1, PL-1, PM-1, PS-1, RA-1, RA-2, SA-1, SA-6, SC-1, SC-13, SI-1</t>
  </si>
  <si>
    <t>16.1.4 Assessment of and decision on information security events</t>
  </si>
  <si>
    <t>RA-3, RA-5, SI-2, SI-5</t>
  </si>
  <si>
    <t>3.6.1; 3.14.3</t>
  </si>
  <si>
    <t>RS.RP-1, RS.CO-1, RS.CO-2, RS.CO-3, RS.CO-4</t>
  </si>
  <si>
    <t>CSC 19</t>
  </si>
  <si>
    <t>16.1 Management of information security incidents and improvements 
16.1.1 Responsibilities and procedures 
16.1.2 Reporting information security events 
16.1.3 Reporting information security weaknesses 
16.1.6  Learning from information security incidents</t>
  </si>
  <si>
    <t>AU-6, IR-1, IR-4, IR-6, SI-2, SI-4, SI-5 PL-4</t>
  </si>
  <si>
    <t>ID.GV-3, RS.AN-3</t>
  </si>
  <si>
    <t>Information Security Aspects of Business Continuity Management (ISO 17)</t>
  </si>
  <si>
    <t>17. Information security aspects of business continuity management</t>
  </si>
  <si>
    <t>AU-7, AU-9, IR-4</t>
  </si>
  <si>
    <t>PR.IP-9</t>
  </si>
  <si>
    <t>18.1 Compliance with legal and contractual requirements</t>
  </si>
  <si>
    <t>CP-1, CP-2, CP-4, PM-9, RA Family</t>
  </si>
  <si>
    <t>18.1.3 Protection of records</t>
  </si>
  <si>
    <t>AU-9, AU-11, CP-9, MP-1, MP-4, SA-5, SI-12</t>
  </si>
  <si>
    <t>18.1.4 Privacy and protection of personally identifiable information</t>
  </si>
  <si>
    <t>Appendix J; SI-12</t>
  </si>
  <si>
    <t>ID.GV-2</t>
  </si>
  <si>
    <t>AC-8, AU-6, CM-11, PL-4, PS-6, PS-8</t>
  </si>
  <si>
    <t>ID.GV-3</t>
  </si>
  <si>
    <t>18.1.5 Regulation of cryptographic controls</t>
  </si>
  <si>
    <t>IA-7, SC-13</t>
  </si>
  <si>
    <t>18.2.2 Compliance with security policies and standards</t>
  </si>
  <si>
    <t>AC-2, CA-2, CA-7, IA-7, PE-8, SI-12</t>
  </si>
  <si>
    <t>PR.IP-12, DE.CM-8</t>
  </si>
  <si>
    <t>18.2.3 Technical compliance review</t>
  </si>
  <si>
    <t>CA-2, CA-7, RA-5</t>
  </si>
  <si>
    <t>PR.IP-7</t>
  </si>
  <si>
    <t>12.7.1 Information systems audit controls</t>
  </si>
  <si>
    <t>AU-1, AU-2, AU-9</t>
  </si>
  <si>
    <t>Description</t>
  </si>
  <si>
    <t>Value</t>
  </si>
  <si>
    <t>Not Applicable</t>
  </si>
  <si>
    <t>Blank</t>
  </si>
  <si>
    <t>CMMI (Capability Maturity Model Integration, ISACA)</t>
  </si>
  <si>
    <t>HG201 RM</t>
  </si>
  <si>
    <t xml:space="preserve">5.16 identity management 8.2 privileged access rights </t>
  </si>
  <si>
    <t>8.5 Secure authentication</t>
  </si>
  <si>
    <t>8.7 protection against malware</t>
  </si>
  <si>
    <t>8.34 Protection of information systems during audit test</t>
  </si>
  <si>
    <t>5.19 Information security in supplier relationships</t>
  </si>
  <si>
    <t>8.33 Test information</t>
  </si>
  <si>
    <t>8.20 Networks security</t>
  </si>
  <si>
    <t>8.22 Segregation of networks</t>
  </si>
  <si>
    <t>5.20 Addressing information security within supplier agreements</t>
  </si>
  <si>
    <t>5.25 Assessment of and decision on information security events</t>
  </si>
  <si>
    <t>5.34 Privacy and protection of PII</t>
  </si>
  <si>
    <t>5.1 Policies for information security</t>
  </si>
  <si>
    <t>8.1 User end points devices</t>
  </si>
  <si>
    <t>5.9 Inventory of information and other associated asstes</t>
  </si>
  <si>
    <t>5.10 Acceptable use of information and other associated assts                    7.10 Storage media</t>
  </si>
  <si>
    <t>5.18 Access rights</t>
  </si>
  <si>
    <t>5.18 Access control</t>
  </si>
  <si>
    <t>5.17 Authentication information</t>
  </si>
  <si>
    <t>8.24 Use of cryptography</t>
  </si>
  <si>
    <t>8.32 Change managemnt</t>
  </si>
  <si>
    <t>8.15 Logging</t>
  </si>
  <si>
    <t>8.19 Instalation of software on operational system</t>
  </si>
  <si>
    <t>8.8 managemnt of technical vulnarabilities</t>
  </si>
  <si>
    <t>5.14 Information transfer</t>
  </si>
  <si>
    <t>5.8 Information security in project management          8.26 Application security requirements</t>
  </si>
  <si>
    <t>5.22 Monitoring, review and change managemnt of supplier services</t>
  </si>
  <si>
    <t>5.31 Legal, statutory, regulatory and contractual requirements</t>
  </si>
  <si>
    <t>5.36 Conformance with policies, rules and standards for information security</t>
  </si>
  <si>
    <t>5.2 Information security roles and responsabilities</t>
  </si>
  <si>
    <t>5.3 Segregation of duties</t>
  </si>
  <si>
    <t>5.5 Contract with authorities</t>
  </si>
  <si>
    <t>Declarația de Aplicabilitate a Băncii MAIB</t>
  </si>
  <si>
    <t>Cucta Maria</t>
  </si>
  <si>
    <t>Cebotari Dan</t>
  </si>
  <si>
    <t>Golan Grigore</t>
  </si>
  <si>
    <t>Plugaru Victoria</t>
  </si>
  <si>
    <t>8.4 Access to source code</t>
  </si>
  <si>
    <t>8.1 User end points devices 5.18 Access control              5.18 Access rights                 5.17 Authentication information                              7.7 Clear desk and clear screen</t>
  </si>
  <si>
    <t>8.31 Separation of development, test and production</t>
  </si>
  <si>
    <t>5.6 Contact with special interest groups</t>
  </si>
  <si>
    <t>8.1 User end points devices 6.7 Remote working              6.7 Teleworking</t>
  </si>
  <si>
    <t>6.3 Information security awareness, education and training</t>
  </si>
  <si>
    <t>6.4 Disciplinary process</t>
  </si>
  <si>
    <t>6.5 Responsabilities after termination or change of employment                           5.18 Access rights                   7.1 Physical security parimeter                                   6.5 Termination or change of employment responsabilities                     5.11 Return of assets</t>
  </si>
  <si>
    <t>8.3 Information access restriction</t>
  </si>
  <si>
    <t>8.18 Use of privileged utility programs</t>
  </si>
  <si>
    <t>7.2 Phisical entry 7.3 Securing offices, rooms and facilities</t>
  </si>
  <si>
    <t>7.5 Protecting against external and environmental threats</t>
  </si>
  <si>
    <t>7.2 Phisical entry                    7.6 Working in secure areas</t>
  </si>
  <si>
    <t>7.9 Security of assets off-premises                                  7.13 Equipment maintenance</t>
  </si>
  <si>
    <t>7.14 Secure disposal or re-use of equipment</t>
  </si>
  <si>
    <t>7.10 Removal of assets</t>
  </si>
  <si>
    <t>5.37 Documented operating procedures</t>
  </si>
  <si>
    <t>8.6 Capacity management</t>
  </si>
  <si>
    <t>8.13 Information backup</t>
  </si>
  <si>
    <t>8.15 Logging                            8.17 Clock synchronization</t>
  </si>
  <si>
    <t>8.20 Networks security       8.21 Security of network services</t>
  </si>
  <si>
    <t>6.6 Confidentiality or non-disclosure agreements</t>
  </si>
  <si>
    <t>8.30 Outsourced development</t>
  </si>
  <si>
    <t>5.24 Information security incident management planning and preparation    6.8 Information Security event reporting                    5.27 Learning from information security incidents</t>
  </si>
  <si>
    <t>5.33 Protection of record</t>
  </si>
  <si>
    <t>5.35 Independent review of information security</t>
  </si>
  <si>
    <t>ISO 27002:2021</t>
  </si>
  <si>
    <t>5.4 Management responsabilties</t>
  </si>
  <si>
    <t>Deleted from ISO 27002:2021</t>
  </si>
  <si>
    <t>5.15 Access rights</t>
  </si>
  <si>
    <t>8.26 Application security requirements</t>
  </si>
  <si>
    <t>CLAUZA</t>
  </si>
  <si>
    <t>Cerinta din ISO/IEC 27002:2021</t>
  </si>
  <si>
    <t>Aplicabil</t>
  </si>
  <si>
    <t>DA</t>
  </si>
  <si>
    <t>NU</t>
  </si>
  <si>
    <t>Nu este aplicabil</t>
  </si>
  <si>
    <t>Justificare excludere</t>
  </si>
  <si>
    <t>Nivel de maturitate COBIT</t>
  </si>
  <si>
    <t>A.5.1.1</t>
  </si>
  <si>
    <t>Document de referinta</t>
  </si>
  <si>
    <t>Politica de securitate a informațiilor</t>
  </si>
  <si>
    <t>Revizuirea politicii de securitate a informatiei</t>
  </si>
  <si>
    <t>A.5.1.2</t>
  </si>
  <si>
    <t>A.5</t>
  </si>
  <si>
    <t>A.6.1.1</t>
  </si>
  <si>
    <t>A.6.1.2</t>
  </si>
  <si>
    <t>A.6.1.3</t>
  </si>
  <si>
    <t>A.6.1.4</t>
  </si>
  <si>
    <t>A.6.1.5</t>
  </si>
  <si>
    <t>A.6.2.1</t>
  </si>
  <si>
    <t>A.6</t>
  </si>
  <si>
    <t>A.7.1.1</t>
  </si>
  <si>
    <t>A.7.1.2</t>
  </si>
  <si>
    <t>A.7.2.1</t>
  </si>
  <si>
    <t>A.7.2.2</t>
  </si>
  <si>
    <t>A.7.2.3</t>
  </si>
  <si>
    <t>A.7.3.1</t>
  </si>
  <si>
    <t>A.7</t>
  </si>
  <si>
    <t>Angajamentul managementului privind securitatea informatiei</t>
  </si>
  <si>
    <t>Separarea responsabilitatilor</t>
  </si>
  <si>
    <t>Contacte cu autoritățile</t>
  </si>
  <si>
    <t>Contactul cu grupuri specializate de interese</t>
  </si>
  <si>
    <t>Securitatea informationala in managementul proiectelor</t>
  </si>
  <si>
    <t>Politica in relațiile cu dispozitivele mobile</t>
  </si>
  <si>
    <t>Organizarea sistemei de securitate a informatiei</t>
  </si>
  <si>
    <t>Controlul</t>
  </si>
  <si>
    <t>Obligațiile din contractul de muncă</t>
  </si>
  <si>
    <t>Responsabilitatea conducerii</t>
  </si>
  <si>
    <t>Cunoașterea cerințelor pentru securitatea informațiilor educație și educație pregătire</t>
  </si>
  <si>
    <t>Disfuncții disciplinare</t>
  </si>
  <si>
    <t>Rezilierea sau modificarea obligațiilor angajaților</t>
  </si>
  <si>
    <t>Securitatea, legata de personal</t>
  </si>
  <si>
    <t>A.8.1.1</t>
  </si>
  <si>
    <t>A.8.1.2</t>
  </si>
  <si>
    <t>A.8.1.3</t>
  </si>
  <si>
    <t>A.8.2.1</t>
  </si>
  <si>
    <t>A.8.2.2</t>
  </si>
  <si>
    <t>A.8.2.3</t>
  </si>
  <si>
    <t>A.8.3.1</t>
  </si>
  <si>
    <t>A.8.3.2</t>
  </si>
  <si>
    <t>A.8.3.3</t>
  </si>
  <si>
    <t>A.8</t>
  </si>
  <si>
    <t>Inventarul activelor</t>
  </si>
  <si>
    <t>Proprietarii activelor</t>
  </si>
  <si>
    <t>Utilizarea corectă a activelor</t>
  </si>
  <si>
    <t>Clasificarea informatiilor</t>
  </si>
  <si>
    <t>Informații privind etichetarea</t>
  </si>
  <si>
    <t>Gestionarea activelor</t>
  </si>
  <si>
    <t>Gestionarea cu unitati portabile</t>
  </si>
  <si>
    <t>Utilizarea purtatorilor de informatie</t>
  </si>
  <si>
    <t>Deplasarea fizica a purtatorilor de informatie</t>
  </si>
  <si>
    <t>A.9.1.1</t>
  </si>
  <si>
    <t>A.9.1.2</t>
  </si>
  <si>
    <t>A.9.2.1</t>
  </si>
  <si>
    <t>A.9.2.2</t>
  </si>
  <si>
    <t>A.9.2.3</t>
  </si>
  <si>
    <t>A.9.2.4</t>
  </si>
  <si>
    <t>A.9.2.5</t>
  </si>
  <si>
    <t>A.9.2.6</t>
  </si>
  <si>
    <t>A.9.3.1</t>
  </si>
  <si>
    <t>A.9.4.1</t>
  </si>
  <si>
    <t>A.9.4.2</t>
  </si>
  <si>
    <t>A.9.4.3</t>
  </si>
  <si>
    <t>A.9.4.4</t>
  </si>
  <si>
    <t>A.9.4.5</t>
  </si>
  <si>
    <t>A.9</t>
  </si>
  <si>
    <t>Politica de control al accesului</t>
  </si>
  <si>
    <t>Acces la rețele și servicii de rețea</t>
  </si>
  <si>
    <t>Inregistrarea utilizatorilor si anularea inregistrarii</t>
  </si>
  <si>
    <t>Acordarea accesului utilizatorilor</t>
  </si>
  <si>
    <t>Gestionarea drepturilor privilegiate de acces</t>
  </si>
  <si>
    <t>Gestionarea de informative secreta pentru autentificarea utilizatorilor</t>
  </si>
  <si>
    <t>Revizuirea drepturilor de acces ale utilizatorilor</t>
  </si>
  <si>
    <t>Stergerea sau modificarea drepturilor de acces</t>
  </si>
  <si>
    <t>Restricțiile privind accesul la informații</t>
  </si>
  <si>
    <t>Proceduri securizate de conectare</t>
  </si>
  <si>
    <t>Sistema de gestionare a parolelor</t>
  </si>
  <si>
    <t>Utilizarea utilitatilor preferate</t>
  </si>
  <si>
    <t>Controlul accesului la codul sursă</t>
  </si>
  <si>
    <t>Controale de acces</t>
  </si>
  <si>
    <t>A.10.1.1</t>
  </si>
  <si>
    <t>A.10.1.2</t>
  </si>
  <si>
    <t>A.10</t>
  </si>
  <si>
    <t>A.11.1.1</t>
  </si>
  <si>
    <t>A.11.1.2</t>
  </si>
  <si>
    <t>A.11.1.3</t>
  </si>
  <si>
    <t>A.11.1.4</t>
  </si>
  <si>
    <t>A.11.1.5</t>
  </si>
  <si>
    <t>A.11.1.6</t>
  </si>
  <si>
    <t>A.11.2.1</t>
  </si>
  <si>
    <t>A.11.2.2</t>
  </si>
  <si>
    <t>A.11.2.3</t>
  </si>
  <si>
    <t>A.11.2.4</t>
  </si>
  <si>
    <t>A.11.2.5</t>
  </si>
  <si>
    <t>A.11.2.6</t>
  </si>
  <si>
    <t>A.11.2.7</t>
  </si>
  <si>
    <t>A.11.2.8</t>
  </si>
  <si>
    <t>A.11.2.9</t>
  </si>
  <si>
    <t>A.11</t>
  </si>
  <si>
    <t>Politica de utilizare a metodelor criptografice</t>
  </si>
  <si>
    <t>Gestionarea cheilor criptorafice</t>
  </si>
  <si>
    <t>Criptografia</t>
  </si>
  <si>
    <t>Perimetrul fizic al securitatii</t>
  </si>
  <si>
    <t>Mijloacele fizice de control al trecerii</t>
  </si>
  <si>
    <t>Securitatea oficiilor, incaperilor si dispozitivelor</t>
  </si>
  <si>
    <t>Protectia impotriva riscurilor externe si naturale</t>
  </si>
  <si>
    <t>Lucrul pe teritoriul protejat</t>
  </si>
  <si>
    <t>Loc de incarcare-descarcare</t>
  </si>
  <si>
    <t>Localizarea și protecția echipamentului</t>
  </si>
  <si>
    <t>Servicii de asigurare</t>
  </si>
  <si>
    <t>Gestionarea cablurilor</t>
  </si>
  <si>
    <t>Deservirea echipamentelor</t>
  </si>
  <si>
    <t>Eliminarea activelor</t>
  </si>
  <si>
    <t>Securitatea echipamentelor si activelor in afara teritoriului</t>
  </si>
  <si>
    <t>Siguranta reciclarii sau reutilizarea repetata a echipamentelor</t>
  </si>
  <si>
    <t>Echipamente de utilizator nesupravegheate</t>
  </si>
  <si>
    <t>Politica a mesei si ecranului curat</t>
  </si>
  <si>
    <t>Echipamente</t>
  </si>
  <si>
    <t>A.12.1.1</t>
  </si>
  <si>
    <t>A.12.1.2</t>
  </si>
  <si>
    <t>A.12.1.3</t>
  </si>
  <si>
    <t>A.12.1.4</t>
  </si>
  <si>
    <t>A.12.2.1</t>
  </si>
  <si>
    <t>A.12.3.1</t>
  </si>
  <si>
    <t>A.12.4.1</t>
  </si>
  <si>
    <t>A.12.4.2</t>
  </si>
  <si>
    <t>A.12.5.1</t>
  </si>
  <si>
    <t>A.12.6.1</t>
  </si>
  <si>
    <t>A.12.6.2</t>
  </si>
  <si>
    <t>A.12.7.1</t>
  </si>
  <si>
    <t>A.12</t>
  </si>
  <si>
    <t>Proceduri de lucru documentate</t>
  </si>
  <si>
    <t>Gestionarea schimbarilor</t>
  </si>
  <si>
    <t>Gestionarea productivitatii</t>
  </si>
  <si>
    <t>Separarea mediilor de dezvoltare, testare și funcționare</t>
  </si>
  <si>
    <t>Mijloace de cod rău intenționat</t>
  </si>
  <si>
    <t>Copia de rezerva a informatiilor</t>
  </si>
  <si>
    <t>Protectia informatiei inregistrate(loguri)</t>
  </si>
  <si>
    <t>Inregistrarea actiunilor administratorilor si operatorilor</t>
  </si>
  <si>
    <t>Instalarea de software în sistemele de operare</t>
  </si>
  <si>
    <t>Controlul vulnerabilitatilor tehnice</t>
  </si>
  <si>
    <t>Restricții privind instalarea software-ului</t>
  </si>
  <si>
    <t>Gestionarea auditului sistemelor informationale</t>
  </si>
  <si>
    <t>Securitatea in timpul exploatarii</t>
  </si>
  <si>
    <t>A.13.1.1</t>
  </si>
  <si>
    <t>A.13.1.2</t>
  </si>
  <si>
    <t>A.13.1.3</t>
  </si>
  <si>
    <t>A.13.2.1</t>
  </si>
  <si>
    <t>A.13.2.2</t>
  </si>
  <si>
    <t>A.13.2.3</t>
  </si>
  <si>
    <t>A.13.2.4</t>
  </si>
  <si>
    <t>A.13</t>
  </si>
  <si>
    <t>A.14.1.1</t>
  </si>
  <si>
    <t>A.14.1.2</t>
  </si>
  <si>
    <t>A.14.1.3</t>
  </si>
  <si>
    <t>A.14.2.1</t>
  </si>
  <si>
    <t>A.14.2.2</t>
  </si>
  <si>
    <t>A.14.2.3</t>
  </si>
  <si>
    <t>A.14.2.4</t>
  </si>
  <si>
    <t>A.14.2.5</t>
  </si>
  <si>
    <t>A.14.2.6</t>
  </si>
  <si>
    <t>A.14.2.7</t>
  </si>
  <si>
    <t>A.14.2.8</t>
  </si>
  <si>
    <t>A.14.2.9</t>
  </si>
  <si>
    <t>A.14.3.1</t>
  </si>
  <si>
    <t>A.14</t>
  </si>
  <si>
    <t>Gestionarea retelelor</t>
  </si>
  <si>
    <t>Securitatea serviciilor de retea</t>
  </si>
  <si>
    <t>Divizarea retelei</t>
  </si>
  <si>
    <t>Politica si procedura de transmitere a informatiei</t>
  </si>
  <si>
    <t>Acordul pentru transmiterea informatiilor</t>
  </si>
  <si>
    <t>Transmiterea mesajelor electronice</t>
  </si>
  <si>
    <t>Acordul de confidentialite si nedevulgare</t>
  </si>
  <si>
    <t>Securitatea retelei</t>
  </si>
  <si>
    <t>Analiza si specificarea cerintelor pentru securitatea informationala</t>
  </si>
  <si>
    <t>Securitatea serviciilor de aplicații în rețele publice</t>
  </si>
  <si>
    <t>Securitatea tranzactiilor serviciilor de aplicatii</t>
  </si>
  <si>
    <t>Politica de dezvoltare</t>
  </si>
  <si>
    <t>Procedura de gestionarea a schimbarilor</t>
  </si>
  <si>
    <t>Limitarea schimbarilor pachetelor de program</t>
  </si>
  <si>
    <t>Principiile de eleborarea a sistemelor de securitate</t>
  </si>
  <si>
    <t>Securitatea mediului de elaborare</t>
  </si>
  <si>
    <t>Dezvoltarea externalizării</t>
  </si>
  <si>
    <t>Testarea sistemelor de securitate</t>
  </si>
  <si>
    <t>Sistem de testare de acceptare</t>
  </si>
  <si>
    <t>Protectia datelor pentru testare</t>
  </si>
  <si>
    <t>Sistem de incluziune, dezvoltare și întreținere</t>
  </si>
  <si>
    <t>A.15.1.1</t>
  </si>
  <si>
    <t>A.15.1.2</t>
  </si>
  <si>
    <t>A.15.1.3</t>
  </si>
  <si>
    <t>A.15.2.1</t>
  </si>
  <si>
    <t>A.15.2.2</t>
  </si>
  <si>
    <t>A.15</t>
  </si>
  <si>
    <t>A.16.1.1</t>
  </si>
  <si>
    <t>A.16.1.2</t>
  </si>
  <si>
    <t>A.16.1.3</t>
  </si>
  <si>
    <t>A.16.1.4</t>
  </si>
  <si>
    <t>A.16.1.5</t>
  </si>
  <si>
    <t>A.16.1.6</t>
  </si>
  <si>
    <t>A.16</t>
  </si>
  <si>
    <t>A.17.1.1</t>
  </si>
  <si>
    <t>A.17.1.2</t>
  </si>
  <si>
    <t>A.17.1.3</t>
  </si>
  <si>
    <t>A.17.2.1</t>
  </si>
  <si>
    <t>A.17</t>
  </si>
  <si>
    <t>A.18.1.1</t>
  </si>
  <si>
    <t>A.18.1.2</t>
  </si>
  <si>
    <t>A.18.1.3</t>
  </si>
  <si>
    <t>A.18.1.4</t>
  </si>
  <si>
    <t>A.18.1.5</t>
  </si>
  <si>
    <t>A.18.2.1</t>
  </si>
  <si>
    <t>A.18.2.2</t>
  </si>
  <si>
    <t>A.18.2.3</t>
  </si>
  <si>
    <t>A.18</t>
  </si>
  <si>
    <t>Politica securitatii informationale in relatie cu furnizorii</t>
  </si>
  <si>
    <t>Sprijin pentru securitate în cadrul acordurilor cu furnizorii</t>
  </si>
  <si>
    <t>Lanț de aprovizionare pentru tehnologiile informației și comunicațiilor</t>
  </si>
  <si>
    <t>Controlul si analiza serviciilor furnizorilor</t>
  </si>
  <si>
    <t>Gestionarea schimbarilot serviciilor furnizorilor</t>
  </si>
  <si>
    <t>Relațiile cu furnizorii</t>
  </si>
  <si>
    <t>Responsabilitate si proceduri</t>
  </si>
  <si>
    <t>Mesaje despre evenimentele securitatii informationale</t>
  </si>
  <si>
    <t>Mesaje despre vulnerabilitati in securitatea informationala</t>
  </si>
  <si>
    <t>Evaluarea si rezolvarea a evenimentului securitatii informatioale</t>
  </si>
  <si>
    <t>Raspunsul la incidentul securitatii informationale</t>
  </si>
  <si>
    <t>Contabilizarea experienței incidentului securitatii informationale</t>
  </si>
  <si>
    <t>Gestionarea incidentelor în domeniul securității informațiilor</t>
  </si>
  <si>
    <t>Planificarea continuității SI</t>
  </si>
  <si>
    <t>Aplicarea continuitatii SI</t>
  </si>
  <si>
    <t>Verificarea, analiza si evaluarea continuitatii SI</t>
  </si>
  <si>
    <t>Disponibilitatea instrumentelor de tratare a informatiilor</t>
  </si>
  <si>
    <t>Aspecte ale securității informațiilor în managementul continuității afacerii</t>
  </si>
  <si>
    <t>Determinarea cerințelor legislative și contractuale aplicabile</t>
  </si>
  <si>
    <t>Drepturile proprietatii intelectuale</t>
  </si>
  <si>
    <t>Protectia inregistrarilor</t>
  </si>
  <si>
    <t>Confidentialitate si protectia datelor personale</t>
  </si>
  <si>
    <t>Regularea metodelor criptografice</t>
  </si>
  <si>
    <t>Analiza independenta a SI</t>
  </si>
  <si>
    <t>Conformitatea politicii de securitate si standarte</t>
  </si>
  <si>
    <t>Analiza conformitatii tehnice</t>
  </si>
  <si>
    <t>Conformitate</t>
  </si>
  <si>
    <t>x</t>
  </si>
  <si>
    <t>Utilizarea informatiei secrete pentru autentificare</t>
  </si>
  <si>
    <t>Analiza aplicatiei dupa schimbarea in platforma operationala</t>
  </si>
  <si>
    <t>Toata informația este transmisa online criptata.</t>
  </si>
  <si>
    <t>Nu este o opțiune eficienta pentru aplicatia MAIB.</t>
  </si>
  <si>
    <t xml:space="preserve">  </t>
  </si>
  <si>
    <t xml:space="preserve">                         Declaratie de aplicabilitate a Sistemului de Management al  Securitătii Informatiei  în cadrul  Băncii MAIB</t>
  </si>
  <si>
    <t>Introducere:</t>
  </si>
  <si>
    <t>Declaratia de Politica a SMSI</t>
  </si>
  <si>
    <t>Procedura”Managementul resurselor”.Anexa ”Registrul activelor informationale”</t>
  </si>
  <si>
    <t>Procedura”Controlul accesului”.</t>
  </si>
  <si>
    <t>"Decizia de numire a Responsabilului managementului pentru securitatea informatiei si a Comisiei pentru securitate informatională"</t>
  </si>
  <si>
    <t>Fise de post pentru personalul implicat in activitatile companiei</t>
  </si>
  <si>
    <t>Declaratia de Politica a SMSI_x000D_
Fise post ale RMSI si ale coordonatorilor SMSI din departamente</t>
  </si>
  <si>
    <t>"Procedura”Competentă, constientizare îmbunătătire. Securitatea personalului”"</t>
  </si>
  <si>
    <t>„Procedura”Competentă, constientizare îmbunătătire.Securitatea personalului” Clauzele de confidențialitate din contractul de muncă"</t>
  </si>
  <si>
    <t>Fise de post departamente implicate</t>
  </si>
  <si>
    <t>Procedura”Competentă, constientizare îmbunătătire.Securitatea personalului”_x000D_.Clauzele de confidentialitate din contractele de munca"
Clauzele de confidentialitate din contractele de munca</t>
  </si>
  <si>
    <t>Procedura ”Competentă, constientizare îmbunătătire.Securitatea personalului”. Decizia de numire a Responsabiluluimanagementului pentru securitatea informatiei si a Comitetului pentru securitate informatională cu dreptul de aplicare a măsurilor disciplinare.</t>
  </si>
  <si>
    <t>"Procedura” Managementul riscului privind securitatea informaţiei.Anexa ”Analiza riscurilor si planul de tratare a riscurilor”"</t>
  </si>
  <si>
    <t xml:space="preserve">
Procedura”Controlul accesului”
</t>
  </si>
  <si>
    <t>"Procedura ""Achizitionarea, dezvoltarea si mentenanta 
sistemelor informatice”"</t>
  </si>
  <si>
    <t xml:space="preserve">
"Procedura”Managementul comunicatiilor si operatiunilor”. 
Declaratia de Politica a SMSI"
</t>
  </si>
  <si>
    <t>Plan de instruire; Procese verbale de instruire</t>
  </si>
  <si>
    <r>
      <t xml:space="preserve">
</t>
    </r>
    <r>
      <rPr>
        <sz val="12"/>
        <color theme="1"/>
        <rFont val="Times New Roman"/>
        <family val="1"/>
        <charset val="204"/>
      </rPr>
      <t xml:space="preserve">
"Procedura ""Achizitionarea, dezvoltarea si mentenanta 
sistemelor informatice"""</t>
    </r>
    <r>
      <rPr>
        <sz val="11"/>
        <color theme="1"/>
        <rFont val="Calibri"/>
        <charset val="134"/>
        <scheme val="minor"/>
      </rPr>
      <t xml:space="preserve">
</t>
    </r>
  </si>
  <si>
    <r>
      <t xml:space="preserve">
</t>
    </r>
    <r>
      <rPr>
        <sz val="12"/>
        <color theme="1"/>
        <rFont val="Times New Roman"/>
        <family val="1"/>
        <charset val="204"/>
      </rPr>
      <t>Procedura "Controlul accesului"</t>
    </r>
    <r>
      <rPr>
        <sz val="11"/>
        <color theme="1"/>
        <rFont val="Calibri"/>
        <charset val="134"/>
        <scheme val="minor"/>
      </rPr>
      <t xml:space="preserve">
</t>
    </r>
  </si>
  <si>
    <t>"Procedura”Achizitionarea, dezvoltarea si mentenanta sistemelor informatice”"</t>
  </si>
  <si>
    <t>Procedura de aprovizionare</t>
  </si>
  <si>
    <t xml:space="preserve">"Procedura”Achizitionarea, dezvoltarea si mentenanta 
sistemelor informatice”"
</t>
  </si>
  <si>
    <t xml:space="preserve">
"Procedura”Managementul continuitătii afacerii”. Planuri de 
interventie in caz de urgentă. Procese verbale privind exercitiile 
de interventie."
</t>
  </si>
  <si>
    <r>
      <t xml:space="preserve">
</t>
    </r>
    <r>
      <rPr>
        <sz val="12"/>
        <color theme="1"/>
        <rFont val="Times New Roman"/>
        <family val="1"/>
        <charset val="204"/>
      </rPr>
      <t xml:space="preserve">
"Procedura”Managementul comunicatiilor si operatiunilor”. 
Declaratia de Politica a SMSI"</t>
    </r>
    <r>
      <rPr>
        <sz val="11"/>
        <color theme="1"/>
        <rFont val="Calibri"/>
        <charset val="134"/>
        <scheme val="minor"/>
      </rPr>
      <t xml:space="preserve">
</t>
    </r>
  </si>
  <si>
    <t>"Procedura”Competentă, constientizare îmbunătătire.Securitatea personalului”; Fise de post departamente implicate"</t>
  </si>
  <si>
    <t xml:space="preserve">
"Procedura”Managementul incidentelor de securitate a informatiei”
Raport ”Incidente de securitate”.
</t>
  </si>
  <si>
    <t xml:space="preserve">
"Procedura”Managementul continuitătii afacerii”. Planuri de 
interventie in caz de urgentă. Procese verbale privind 
exercitiile de interventie."</t>
  </si>
  <si>
    <t>"Procedura”Conformitatea cu cerintele legale si alte cerinte de securitate informatională”. Raport de audit”."</t>
  </si>
  <si>
    <t>"Procedura”Conformitatea cu cerintele legale si alte cerinte de securitate informatională”. Raport de audit”.Utilizare de software cu licenta.Inregistrarea în instantele abilitate pentru comercializarea de software."</t>
  </si>
  <si>
    <t>Procedura”Controlul înregistrărilor”.</t>
  </si>
  <si>
    <t xml:space="preserve">Legislatia privind protectia datelor cu caracter personal. </t>
  </si>
  <si>
    <t>"Procedura”Conformitatea cu cerintele legale si alte cerinte”.Raport de audit."</t>
  </si>
  <si>
    <t>"Procedura”Conformitatea cu cerintele legale si alte cerinte”. 
Raport de audit."</t>
  </si>
  <si>
    <r>
      <t xml:space="preserve">  </t>
    </r>
    <r>
      <rPr>
        <b/>
        <sz val="14"/>
        <color theme="1"/>
        <rFont val="Times New Roman"/>
        <family val="1"/>
        <charset val="204"/>
      </rPr>
      <t xml:space="preserve">            </t>
    </r>
    <r>
      <rPr>
        <b/>
        <sz val="16"/>
        <color theme="1"/>
        <rFont val="Times New Roman"/>
        <family val="1"/>
        <charset val="204"/>
      </rPr>
      <t xml:space="preserve"> Prezenta Declaratia de aplicabilitate a băncii MAIB</t>
    </r>
  </si>
  <si>
    <r>
      <t xml:space="preserve">                                                                            prezinta masurile de securitate din Anexa A a standardului ISO/IEC 27002:2021</t>
    </r>
    <r>
      <rPr>
        <sz val="14"/>
        <color rgb="FFFF0000"/>
        <rFont val="Times New Roman"/>
        <family val="1"/>
        <charset val="204"/>
      </rPr>
      <t xml:space="preserve"> </t>
    </r>
    <r>
      <rPr>
        <sz val="14"/>
        <color theme="1"/>
        <rFont val="Times New Roman"/>
        <family val="1"/>
        <charset val="204"/>
      </rPr>
      <t>ce sunt aplicabile in cadrul organizatiei.</t>
    </r>
  </si>
  <si>
    <t xml:space="preserve">                                                                      Aplicabilitatea masurilorlor este in stransa legatura cu domeniul de activitate declarat in Manualul de securitate a informatiei (MSI).</t>
  </si>
  <si>
    <t xml:space="preserve">                                                                           Clauzele aplicabile sunt tratate in proceduri specifice si proceduri operationale, mentionate in coloana “Document referinta”.</t>
  </si>
  <si>
    <t>Code: </t>
  </si>
  <si>
    <t>Version: </t>
  </si>
  <si>
    <t>Approved by: </t>
  </si>
  <si>
    <t xml:space="preserve">Date of version: </t>
  </si>
  <si>
    <t xml:space="preserve">Created by: </t>
  </si>
  <si>
    <t xml:space="preserve">Confidentiality level: </t>
  </si>
  <si>
    <t>14.11.2022</t>
  </si>
  <si>
    <t>lect. univ. Bulai Rodica</t>
  </si>
  <si>
    <t>Date</t>
  </si>
  <si>
    <t>Version</t>
  </si>
  <si>
    <t>Created by</t>
  </si>
  <si>
    <t>Description of change</t>
  </si>
  <si>
    <t>Plugaru Victoria Cucta Maria       Cebotari Dan       Golan Grigore</t>
  </si>
  <si>
    <t>Schița de bază a documentului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</si>
</sst>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0">
    <font>
      <sz val="11"/>
      <color theme="1"/>
      <name val="Calibri"/>
      <charset val="13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b/>
      <sz val="11"/>
      <color theme="1"/>
      <name val="Calibri"/>
      <charset val="134"/>
      <scheme val="minor"/>
    </font>
    <font>
      <sz val="10"/>
      <color theme="1"/>
      <name val="Calibri"/>
      <charset val="134"/>
      <scheme val="minor"/>
    </font>
    <font>
      <b/>
      <sz val="10"/>
      <name val="Calibri"/>
      <charset val="134"/>
      <scheme val="minor"/>
    </font>
    <font>
      <sz val="10"/>
      <name val="Calibri"/>
      <charset val="134"/>
      <scheme val="minor"/>
    </font>
    <font>
      <sz val="10"/>
      <color rgb="FF000000"/>
      <name val="Calibri"/>
      <charset val="134"/>
      <scheme val="minor"/>
    </font>
    <font>
      <sz val="10"/>
      <name val="Arial"/>
      <charset val="134"/>
    </font>
    <font>
      <sz val="10"/>
      <color indexed="10"/>
      <name val="Arial"/>
      <charset val="134"/>
    </font>
    <font>
      <sz val="11"/>
      <name val="Calibri"/>
      <charset val="134"/>
      <scheme val="minor"/>
    </font>
    <font>
      <sz val="12"/>
      <color rgb="FFFF0000"/>
      <name val="Calibri"/>
      <charset val="134"/>
      <scheme val="minor"/>
    </font>
    <font>
      <b/>
      <sz val="11"/>
      <name val="Calibri"/>
      <charset val="134"/>
      <scheme val="minor"/>
    </font>
    <font>
      <b/>
      <sz val="11"/>
      <color indexed="8"/>
      <name val="Calibri"/>
      <charset val="134"/>
      <scheme val="minor"/>
    </font>
    <font>
      <b/>
      <sz val="12"/>
      <color indexed="8"/>
      <name val="Calibri"/>
      <charset val="134"/>
      <scheme val="minor"/>
    </font>
    <font>
      <b/>
      <sz val="12"/>
      <name val="Calibri"/>
      <charset val="134"/>
      <scheme val="minor"/>
    </font>
    <font>
      <sz val="12"/>
      <color indexed="10"/>
      <name val="Calibri"/>
      <charset val="134"/>
      <scheme val="minor"/>
    </font>
    <font>
      <u/>
      <sz val="12"/>
      <color rgb="FF800080"/>
      <name val="Calibri"/>
      <charset val="134"/>
      <scheme val="minor"/>
    </font>
    <font>
      <sz val="12"/>
      <name val="Calibri"/>
      <charset val="134"/>
      <scheme val="minor"/>
    </font>
    <font>
      <u/>
      <sz val="12"/>
      <color theme="10"/>
      <name val="Calibri"/>
      <charset val="134"/>
      <scheme val="minor"/>
    </font>
    <font>
      <sz val="12"/>
      <color theme="1"/>
      <name val="Calibri"/>
      <charset val="134"/>
      <scheme val="minor"/>
    </font>
    <font>
      <sz val="16"/>
      <color rgb="FFFF0000"/>
      <name val="Calibri"/>
      <charset val="134"/>
      <scheme val="minor"/>
    </font>
    <font>
      <b/>
      <sz val="12"/>
      <color theme="1"/>
      <name val="Calibri"/>
      <charset val="134"/>
      <scheme val="minor"/>
    </font>
    <font>
      <strike/>
      <sz val="12"/>
      <name val="Calibri"/>
      <charset val="134"/>
      <scheme val="minor"/>
    </font>
    <font>
      <b/>
      <sz val="16"/>
      <name val="Calibri"/>
      <charset val="134"/>
      <scheme val="minor"/>
    </font>
    <font>
      <sz val="12"/>
      <name val="Arial"/>
      <charset val="134"/>
    </font>
    <font>
      <b/>
      <sz val="10"/>
      <name val="Arial"/>
      <charset val="134"/>
    </font>
    <font>
      <b/>
      <sz val="10"/>
      <color theme="1"/>
      <name val="Calibri"/>
      <charset val="134"/>
      <scheme val="minor"/>
    </font>
    <font>
      <sz val="10"/>
      <color theme="1"/>
      <name val="Symbol"/>
      <charset val="2"/>
    </font>
    <font>
      <sz val="11"/>
      <color rgb="FF3F3F76"/>
      <name val="Calibri"/>
      <charset val="134"/>
      <scheme val="minor"/>
    </font>
    <font>
      <u/>
      <sz val="11"/>
      <color theme="10"/>
      <name val="Calibri"/>
      <charset val="134"/>
      <scheme val="minor"/>
    </font>
    <font>
      <sz val="10"/>
      <color rgb="FF000000"/>
      <name val="Arial"/>
      <charset val="134"/>
    </font>
    <font>
      <b/>
      <sz val="11"/>
      <name val="Calibri"/>
      <charset val="134"/>
    </font>
    <font>
      <sz val="11"/>
      <name val="Calibri"/>
      <charset val="134"/>
    </font>
    <font>
      <b/>
      <sz val="12"/>
      <name val="Calibri"/>
      <charset val="134"/>
    </font>
    <font>
      <sz val="12"/>
      <name val="Calibri"/>
      <charset val="134"/>
    </font>
    <font>
      <strike/>
      <sz val="12"/>
      <name val="Calibri"/>
      <charset val="134"/>
    </font>
    <font>
      <sz val="12"/>
      <color rgb="FFFF0000"/>
      <name val="Calibri"/>
      <charset val="134"/>
    </font>
    <font>
      <u/>
      <sz val="12"/>
      <color theme="10"/>
      <name val="Calibri"/>
      <charset val="134"/>
    </font>
    <font>
      <sz val="10"/>
      <color theme="1"/>
      <name val="Calibri"/>
      <charset val="134"/>
    </font>
    <font>
      <b/>
      <sz val="10"/>
      <color theme="1"/>
      <name val="Calibri"/>
      <charset val="134"/>
    </font>
    <font>
      <sz val="10"/>
      <color theme="1"/>
      <name val="Times New Roman"/>
      <charset val="134"/>
    </font>
    <font>
      <b/>
      <sz val="10"/>
      <name val="Calibri"/>
      <family val="2"/>
      <charset val="204"/>
      <scheme val="minor"/>
    </font>
    <font>
      <sz val="10"/>
      <name val="Calibri"/>
      <family val="2"/>
      <charset val="204"/>
      <scheme val="minor"/>
    </font>
    <font>
      <sz val="11"/>
      <color theme="1"/>
      <name val="Calibri"/>
      <family val="2"/>
      <charset val="204"/>
      <scheme val="minor"/>
    </font>
    <font>
      <b/>
      <sz val="18"/>
      <color theme="1"/>
      <name val="Calibri"/>
      <family val="2"/>
      <charset val="204"/>
      <scheme val="minor"/>
    </font>
    <font>
      <sz val="11"/>
      <color rgb="FF006100"/>
      <name val="Calibri"/>
      <family val="2"/>
      <charset val="204"/>
      <scheme val="minor"/>
    </font>
    <font>
      <b/>
      <sz val="12"/>
      <name val="Calibri"/>
      <family val="2"/>
      <charset val="204"/>
      <scheme val="minor"/>
    </font>
    <font>
      <sz val="12"/>
      <color theme="1"/>
      <name val="Times New Roman"/>
      <family val="1"/>
      <charset val="204"/>
    </font>
    <font>
      <b/>
      <sz val="14"/>
      <name val="Calibri"/>
      <family val="2"/>
      <charset val="204"/>
      <scheme val="minor"/>
    </font>
    <font>
      <sz val="11"/>
      <color theme="1"/>
      <name val="Times New Roman"/>
      <family val="1"/>
      <charset val="204"/>
    </font>
    <font>
      <b/>
      <sz val="12"/>
      <name val="Times New Roman"/>
      <family val="1"/>
      <charset val="204"/>
    </font>
    <font>
      <b/>
      <sz val="16"/>
      <color theme="1"/>
      <name val="Times New Roman"/>
      <family val="1"/>
      <charset val="204"/>
    </font>
    <font>
      <sz val="14"/>
      <color theme="1"/>
      <name val="Times New Roman"/>
      <family val="1"/>
      <charset val="204"/>
    </font>
    <font>
      <b/>
      <sz val="14"/>
      <color theme="1"/>
      <name val="Times New Roman"/>
      <family val="1"/>
      <charset val="204"/>
    </font>
    <font>
      <sz val="16"/>
      <color theme="1"/>
      <name val="Times New Roman"/>
      <family val="1"/>
      <charset val="204"/>
    </font>
    <font>
      <sz val="14"/>
      <color rgb="FFFF0000"/>
      <name val="Times New Roman"/>
      <family val="1"/>
      <charset val="204"/>
    </font>
    <font>
      <b/>
      <sz val="18"/>
      <color theme="1"/>
      <name val="Times New Roman"/>
      <family val="1"/>
      <charset val="204"/>
    </font>
    <font>
      <sz val="12"/>
      <color rgb="FF006100"/>
      <name val="Times New Roman"/>
      <family val="1"/>
      <charset val="204"/>
    </font>
  </fonts>
  <fills count="12">
    <fill>
      <patternFill patternType="none"/>
    </fill>
    <fill>
      <patternFill patternType="gray125"/>
    </fill>
    <fill>
      <patternFill patternType="solid">
        <fgColor rgb="FFD9D9D9"/>
        <bgColor rgb="FFD9D9D9"/>
      </patternFill>
    </fill>
    <fill>
      <patternFill patternType="solid">
        <fgColor theme="0"/>
        <bgColor indexed="64"/>
      </patternFill>
    </fill>
    <fill>
      <patternFill patternType="solid">
        <fgColor rgb="FFFFCC99"/>
        <bgColor indexed="64"/>
      </patternFill>
    </fill>
    <fill>
      <patternFill patternType="solid">
        <fgColor theme="4" tint="0.39994506668294322"/>
        <bgColor indexed="64"/>
      </patternFill>
    </fill>
    <fill>
      <patternFill patternType="solid">
        <fgColor theme="4" tint="0.59999389629810485"/>
        <bgColor indexed="64"/>
      </patternFill>
    </fill>
    <fill>
      <patternFill patternType="solid">
        <fgColor theme="4" tint="0.79995117038483843"/>
        <bgColor indexed="64"/>
      </patternFill>
    </fill>
    <fill>
      <patternFill patternType="solid">
        <fgColor theme="2"/>
        <bgColor indexed="64"/>
      </patternFill>
    </fill>
    <fill>
      <patternFill patternType="solid">
        <fgColor rgb="FFFFFF00"/>
        <bgColor indexed="64"/>
      </patternFill>
    </fill>
    <fill>
      <patternFill patternType="solid">
        <fgColor rgb="FFFFFF00"/>
        <bgColor rgb="FFD9D9D9"/>
      </patternFill>
    </fill>
    <fill>
      <patternFill patternType="solid">
        <fgColor rgb="FFC6EFCE"/>
      </patternFill>
    </fill>
  </fills>
  <borders count="1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right style="thin">
        <color auto="1"/>
      </right>
      <top style="thin">
        <color rgb="FF7F7F7F"/>
      </top>
      <bottom style="thin">
        <color rgb="FF7F7F7F"/>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bottom/>
      <diagonal/>
    </border>
  </borders>
  <cellStyleXfs count="8">
    <xf numFmtId="0" fontId="0" fillId="0" borderId="0"/>
    <xf numFmtId="0" fontId="9" fillId="0" borderId="0"/>
    <xf numFmtId="0" fontId="32" fillId="0" borderId="0"/>
    <xf numFmtId="0" fontId="9" fillId="0" borderId="0"/>
    <xf numFmtId="0" fontId="30" fillId="4" borderId="12" applyNumberFormat="0" applyAlignment="0" applyProtection="0"/>
    <xf numFmtId="0" fontId="9" fillId="0" borderId="0"/>
    <xf numFmtId="0" fontId="31" fillId="0" borderId="0" applyNumberFormat="0" applyFill="0" applyBorder="0" applyAlignment="0" applyProtection="0"/>
    <xf numFmtId="0" fontId="47" fillId="11" borderId="0" applyNumberFormat="0" applyBorder="0" applyAlignment="0" applyProtection="0"/>
  </cellStyleXfs>
  <cellXfs count="233">
    <xf numFmtId="0" fontId="0" fillId="0" borderId="0" xfId="0"/>
    <xf numFmtId="0" fontId="4" fillId="0" borderId="0" xfId="0" applyFont="1"/>
    <xf numFmtId="0" fontId="5" fillId="0" borderId="0" xfId="0" applyFont="1" applyAlignment="1"/>
    <xf numFmtId="0" fontId="5" fillId="0" borderId="0" xfId="0" applyFont="1" applyAlignment="1">
      <alignment vertical="top"/>
    </xf>
    <xf numFmtId="0" fontId="5" fillId="0" borderId="0" xfId="0" applyFont="1" applyAlignment="1">
      <alignment vertical="top" wrapText="1"/>
    </xf>
    <xf numFmtId="0" fontId="6" fillId="0" borderId="0" xfId="2" applyFont="1" applyAlignment="1">
      <alignment wrapText="1"/>
    </xf>
    <xf numFmtId="0" fontId="7" fillId="2" borderId="0" xfId="2" applyFont="1" applyFill="1" applyAlignment="1">
      <alignment vertical="top"/>
    </xf>
    <xf numFmtId="0" fontId="7" fillId="0" borderId="0" xfId="2" applyFont="1" applyAlignment="1">
      <alignment vertical="top"/>
    </xf>
    <xf numFmtId="0" fontId="7" fillId="0" borderId="0" xfId="2" applyFont="1" applyAlignment="1">
      <alignment vertical="top" wrapText="1"/>
    </xf>
    <xf numFmtId="0" fontId="0" fillId="0" borderId="0" xfId="0" applyFill="1" applyAlignment="1">
      <alignment horizontal="left" vertical="justify" wrapText="1"/>
    </xf>
    <xf numFmtId="0" fontId="9" fillId="0" borderId="0" xfId="3" applyFill="1"/>
    <xf numFmtId="0" fontId="9" fillId="0" borderId="0" xfId="3" applyAlignment="1">
      <alignment vertical="top" wrapText="1"/>
    </xf>
    <xf numFmtId="0" fontId="9" fillId="0" borderId="0" xfId="3" applyFill="1" applyAlignment="1">
      <alignment vertical="top" wrapText="1"/>
    </xf>
    <xf numFmtId="0" fontId="9" fillId="0" borderId="0" xfId="3" applyAlignment="1">
      <alignment horizontal="center" vertical="center" wrapText="1"/>
    </xf>
    <xf numFmtId="0" fontId="12" fillId="0" borderId="0" xfId="3" applyFont="1" applyAlignment="1">
      <alignment horizontal="left" vertical="top" wrapText="1"/>
    </xf>
    <xf numFmtId="0" fontId="11" fillId="0" borderId="2" xfId="3" applyFont="1" applyBorder="1" applyAlignment="1">
      <alignment horizontal="left" vertical="center" wrapText="1"/>
    </xf>
    <xf numFmtId="0" fontId="11" fillId="0" borderId="0" xfId="4" applyFont="1" applyFill="1" applyBorder="1" applyAlignment="1">
      <alignment horizontal="left" vertical="center" wrapText="1"/>
    </xf>
    <xf numFmtId="0" fontId="11" fillId="0" borderId="3" xfId="3" applyFont="1" applyFill="1" applyBorder="1" applyAlignment="1">
      <alignment horizontal="left" vertical="top" wrapText="1"/>
    </xf>
    <xf numFmtId="0" fontId="11" fillId="0" borderId="1" xfId="0" applyFont="1" applyFill="1" applyBorder="1" applyAlignment="1">
      <alignment horizontal="left" vertical="center" wrapText="1"/>
    </xf>
    <xf numFmtId="0" fontId="13" fillId="0" borderId="4" xfId="4" applyFont="1" applyFill="1" applyBorder="1" applyAlignment="1">
      <alignment horizontal="left" vertical="top" wrapText="1"/>
    </xf>
    <xf numFmtId="0" fontId="11" fillId="0" borderId="1" xfId="4" applyFont="1" applyFill="1" applyBorder="1" applyAlignment="1">
      <alignment horizontal="left" vertical="center" wrapText="1"/>
    </xf>
    <xf numFmtId="0" fontId="13" fillId="0" borderId="3" xfId="3" applyFont="1" applyFill="1" applyBorder="1" applyAlignment="1">
      <alignment horizontal="left" vertical="top" wrapText="1"/>
    </xf>
    <xf numFmtId="0" fontId="13" fillId="0" borderId="5" xfId="1" applyFont="1" applyFill="1" applyBorder="1" applyAlignment="1">
      <alignment horizontal="left" vertical="top" wrapText="1"/>
    </xf>
    <xf numFmtId="0" fontId="14" fillId="0" borderId="5" xfId="1" applyFont="1" applyFill="1" applyBorder="1" applyAlignment="1">
      <alignment horizontal="left" vertical="top" wrapText="1"/>
    </xf>
    <xf numFmtId="0" fontId="14" fillId="0" borderId="5" xfId="1" applyFont="1" applyBorder="1" applyAlignment="1">
      <alignment horizontal="left" vertical="top" wrapText="1"/>
    </xf>
    <xf numFmtId="0" fontId="11" fillId="0" borderId="6" xfId="4" applyFont="1" applyFill="1" applyBorder="1" applyAlignment="1">
      <alignment horizontal="left" vertical="center" wrapText="1"/>
    </xf>
    <xf numFmtId="0" fontId="15" fillId="0" borderId="1" xfId="1" applyFont="1" applyBorder="1" applyAlignment="1">
      <alignment horizontal="left" vertical="top" wrapText="1"/>
    </xf>
    <xf numFmtId="0" fontId="16" fillId="0" borderId="6" xfId="1" applyFont="1" applyBorder="1" applyAlignment="1">
      <alignment horizontal="center" vertical="top" wrapText="1"/>
    </xf>
    <xf numFmtId="0" fontId="15" fillId="0" borderId="7" xfId="1" applyFont="1" applyBorder="1" applyAlignment="1">
      <alignment horizontal="left" vertical="top" wrapText="1"/>
    </xf>
    <xf numFmtId="0" fontId="17" fillId="0" borderId="1" xfId="3" applyFont="1" applyBorder="1" applyAlignment="1">
      <alignment horizontal="center" vertical="center" wrapText="1"/>
    </xf>
    <xf numFmtId="0" fontId="17" fillId="0" borderId="6" xfId="3" applyFont="1" applyBorder="1" applyAlignment="1">
      <alignment horizontal="center" vertical="center" wrapText="1"/>
    </xf>
    <xf numFmtId="0" fontId="16" fillId="0" borderId="7" xfId="1" applyFont="1" applyBorder="1" applyAlignment="1">
      <alignment horizontal="left" vertical="top" wrapText="1"/>
    </xf>
    <xf numFmtId="0" fontId="16" fillId="0" borderId="0" xfId="1" applyFont="1" applyBorder="1" applyAlignment="1">
      <alignment horizontal="left" vertical="top" wrapText="1"/>
    </xf>
    <xf numFmtId="0" fontId="17" fillId="0" borderId="0" xfId="3" applyFont="1" applyBorder="1" applyAlignment="1">
      <alignment horizontal="center" vertical="center" wrapText="1"/>
    </xf>
    <xf numFmtId="0" fontId="16" fillId="5" borderId="0" xfId="1" applyFont="1" applyFill="1" applyBorder="1" applyAlignment="1">
      <alignment horizontal="left" vertical="center" wrapText="1"/>
    </xf>
    <xf numFmtId="0" fontId="16" fillId="0" borderId="0" xfId="1" applyFont="1" applyFill="1" applyBorder="1" applyAlignment="1">
      <alignment horizontal="left" vertical="center" wrapText="1"/>
    </xf>
    <xf numFmtId="0" fontId="16" fillId="3" borderId="7" xfId="1" applyFont="1" applyFill="1" applyBorder="1" applyAlignment="1">
      <alignment horizontal="center" vertical="center" wrapText="1"/>
    </xf>
    <xf numFmtId="0" fontId="16" fillId="0" borderId="1" xfId="0" applyFont="1" applyBorder="1" applyAlignment="1">
      <alignment horizontal="center" vertical="center" wrapText="1"/>
    </xf>
    <xf numFmtId="0" fontId="16" fillId="6" borderId="0" xfId="1" applyFont="1" applyFill="1" applyBorder="1" applyAlignment="1">
      <alignment horizontal="left" vertical="center" wrapText="1"/>
    </xf>
    <xf numFmtId="0" fontId="16" fillId="0" borderId="1" xfId="1" applyFont="1" applyFill="1" applyBorder="1" applyAlignment="1">
      <alignment horizontal="left" vertical="center" wrapText="1"/>
    </xf>
    <xf numFmtId="0" fontId="18" fillId="6" borderId="8" xfId="6" applyFont="1" applyFill="1" applyBorder="1" applyAlignment="1">
      <alignment horizontal="left" vertical="center" wrapText="1"/>
    </xf>
    <xf numFmtId="0" fontId="16" fillId="6" borderId="8" xfId="4" applyFont="1" applyFill="1" applyBorder="1" applyAlignment="1">
      <alignment horizontal="right" vertical="center" wrapText="1"/>
    </xf>
    <xf numFmtId="0" fontId="16" fillId="0" borderId="0" xfId="1" applyFont="1" applyFill="1" applyBorder="1" applyAlignment="1">
      <alignment horizontal="left" vertical="top" wrapText="1"/>
    </xf>
    <xf numFmtId="0" fontId="19" fillId="0" borderId="1" xfId="1" applyFont="1" applyFill="1" applyBorder="1" applyAlignment="1">
      <alignment horizontal="left" vertical="top" wrapText="1"/>
    </xf>
    <xf numFmtId="0" fontId="11" fillId="0" borderId="1" xfId="4" applyFont="1" applyFill="1" applyBorder="1" applyAlignment="1">
      <alignment horizontal="center" vertical="center" wrapText="1"/>
    </xf>
    <xf numFmtId="0" fontId="19" fillId="7" borderId="0" xfId="1" applyFont="1" applyFill="1" applyBorder="1" applyAlignment="1">
      <alignment horizontal="left" vertical="top" wrapText="1"/>
    </xf>
    <xf numFmtId="0" fontId="19" fillId="0" borderId="0" xfId="1" applyFont="1" applyFill="1" applyBorder="1" applyAlignment="1">
      <alignment horizontal="left" vertical="top" wrapText="1"/>
    </xf>
    <xf numFmtId="0" fontId="19" fillId="0" borderId="1" xfId="3" applyFont="1" applyBorder="1" applyAlignment="1">
      <alignment horizontal="left" vertical="top" wrapText="1"/>
    </xf>
    <xf numFmtId="0" fontId="18" fillId="6" borderId="1" xfId="6" applyFont="1" applyFill="1" applyBorder="1" applyAlignment="1">
      <alignment horizontal="left" vertical="center" wrapText="1"/>
    </xf>
    <xf numFmtId="0" fontId="16" fillId="6" borderId="1" xfId="4" applyFont="1" applyFill="1" applyBorder="1" applyAlignment="1">
      <alignment horizontal="right" vertical="center" wrapText="1"/>
    </xf>
    <xf numFmtId="0" fontId="16" fillId="5" borderId="0" xfId="1" applyFont="1" applyFill="1" applyBorder="1" applyAlignment="1">
      <alignment horizontal="left" vertical="top" wrapText="1"/>
    </xf>
    <xf numFmtId="0" fontId="19" fillId="0" borderId="1" xfId="1" applyFont="1" applyFill="1" applyBorder="1" applyAlignment="1">
      <alignment vertical="top" wrapText="1"/>
    </xf>
    <xf numFmtId="0" fontId="16" fillId="0" borderId="1" xfId="1" applyFont="1" applyFill="1" applyBorder="1" applyAlignment="1">
      <alignment horizontal="left" vertical="top" wrapText="1"/>
    </xf>
    <xf numFmtId="0" fontId="20" fillId="6" borderId="1" xfId="6" applyFont="1" applyFill="1" applyBorder="1" applyAlignment="1">
      <alignment horizontal="left" vertical="center" wrapText="1"/>
    </xf>
    <xf numFmtId="0" fontId="19" fillId="0" borderId="0" xfId="1" applyFont="1" applyBorder="1" applyAlignment="1">
      <alignment horizontal="left" vertical="top" wrapText="1"/>
    </xf>
    <xf numFmtId="0" fontId="19" fillId="0" borderId="1" xfId="1" applyFont="1" applyBorder="1" applyAlignment="1">
      <alignment horizontal="left" vertical="top" wrapText="1"/>
    </xf>
    <xf numFmtId="0" fontId="19" fillId="0" borderId="1" xfId="3" applyFont="1" applyFill="1" applyBorder="1" applyAlignment="1">
      <alignment horizontal="left" vertical="top" wrapText="1"/>
    </xf>
    <xf numFmtId="0" fontId="19" fillId="0" borderId="1" xfId="1" applyFont="1" applyFill="1" applyBorder="1" applyAlignment="1">
      <alignment vertical="center" wrapText="1"/>
    </xf>
    <xf numFmtId="0" fontId="19" fillId="0" borderId="1" xfId="1" applyFont="1" applyBorder="1" applyAlignment="1">
      <alignment vertical="top" wrapText="1"/>
    </xf>
    <xf numFmtId="0" fontId="19" fillId="0" borderId="1" xfId="0" applyFont="1" applyBorder="1" applyAlignment="1">
      <alignment vertical="top" wrapText="1"/>
    </xf>
    <xf numFmtId="0" fontId="19" fillId="0" borderId="1" xfId="0" applyFont="1" applyFill="1" applyBorder="1" applyAlignment="1">
      <alignment vertical="top" wrapText="1"/>
    </xf>
    <xf numFmtId="0" fontId="19" fillId="0" borderId="1" xfId="0" applyNumberFormat="1" applyFont="1" applyFill="1" applyBorder="1" applyAlignment="1">
      <alignment horizontal="left" vertical="top" wrapText="1"/>
    </xf>
    <xf numFmtId="0" fontId="19" fillId="3" borderId="1" xfId="1" applyFont="1" applyFill="1" applyBorder="1" applyAlignment="1">
      <alignment horizontal="left" vertical="top" wrapText="1"/>
    </xf>
    <xf numFmtId="0" fontId="19" fillId="0" borderId="1" xfId="0" applyNumberFormat="1" applyFont="1" applyFill="1" applyBorder="1" applyAlignment="1">
      <alignment vertical="top" wrapText="1"/>
    </xf>
    <xf numFmtId="2" fontId="19" fillId="0" borderId="1" xfId="0" applyNumberFormat="1" applyFont="1" applyFill="1" applyBorder="1" applyAlignment="1">
      <alignment vertical="top" wrapText="1"/>
    </xf>
    <xf numFmtId="2" fontId="19" fillId="0" borderId="1" xfId="0" applyNumberFormat="1" applyFont="1" applyBorder="1" applyAlignment="1">
      <alignment horizontal="left" vertical="top" wrapText="1"/>
    </xf>
    <xf numFmtId="0" fontId="21" fillId="0" borderId="0" xfId="0" applyFont="1" applyBorder="1" applyAlignment="1">
      <alignment horizontal="center" vertical="center" wrapText="1"/>
    </xf>
    <xf numFmtId="0" fontId="12" fillId="0" borderId="0" xfId="0" applyFont="1" applyBorder="1" applyAlignment="1">
      <alignment horizontal="left" vertical="top" wrapText="1"/>
    </xf>
    <xf numFmtId="0" fontId="0" fillId="0" borderId="0" xfId="0" applyBorder="1" applyAlignment="1">
      <alignment horizontal="left" vertical="justify" wrapText="1"/>
    </xf>
    <xf numFmtId="0" fontId="19" fillId="0" borderId="0" xfId="3" applyFont="1" applyFill="1" applyBorder="1" applyAlignment="1">
      <alignment horizontal="center" vertical="center" wrapText="1"/>
    </xf>
    <xf numFmtId="0" fontId="11" fillId="0" borderId="0" xfId="0" applyFont="1" applyFill="1" applyBorder="1" applyAlignment="1">
      <alignment horizontal="left" vertical="center" wrapText="1"/>
    </xf>
    <xf numFmtId="0" fontId="0" fillId="0" borderId="0" xfId="0" applyFill="1" applyBorder="1" applyAlignment="1">
      <alignment horizontal="left" vertical="justify" wrapText="1"/>
    </xf>
    <xf numFmtId="0" fontId="22" fillId="0" borderId="0" xfId="1" applyFont="1" applyBorder="1" applyAlignment="1">
      <alignment horizontal="center" vertical="top" wrapText="1"/>
    </xf>
    <xf numFmtId="0" fontId="23" fillId="0" borderId="5" xfId="0" applyFont="1" applyBorder="1" applyAlignment="1">
      <alignment horizontal="center" vertical="center"/>
    </xf>
    <xf numFmtId="0" fontId="23" fillId="0" borderId="1" xfId="0" applyFont="1" applyBorder="1" applyAlignment="1">
      <alignment horizontal="center" vertical="center" wrapText="1"/>
    </xf>
    <xf numFmtId="0" fontId="16" fillId="3" borderId="1" xfId="3" applyFont="1" applyFill="1" applyBorder="1" applyAlignment="1">
      <alignment horizontal="center" vertical="center" wrapText="1"/>
    </xf>
    <xf numFmtId="0" fontId="9" fillId="0" borderId="0" xfId="3" applyBorder="1"/>
    <xf numFmtId="2" fontId="16" fillId="6" borderId="7" xfId="3" applyNumberFormat="1" applyFont="1" applyFill="1" applyBorder="1" applyAlignment="1">
      <alignment horizontal="center" vertical="center"/>
    </xf>
    <xf numFmtId="2" fontId="16" fillId="6" borderId="9" xfId="3" applyNumberFormat="1" applyFont="1" applyFill="1" applyBorder="1" applyAlignment="1">
      <alignment horizontal="center" vertical="center"/>
    </xf>
    <xf numFmtId="2" fontId="16" fillId="6" borderId="5" xfId="3" applyNumberFormat="1" applyFont="1" applyFill="1" applyBorder="1" applyAlignment="1">
      <alignment horizontal="center" vertical="center"/>
    </xf>
    <xf numFmtId="0" fontId="0" fillId="0" borderId="1" xfId="0" applyBorder="1" applyAlignment="1">
      <alignment horizontal="center" vertical="center"/>
    </xf>
    <xf numFmtId="0" fontId="17" fillId="8" borderId="0" xfId="3" applyFont="1" applyFill="1" applyBorder="1" applyAlignment="1">
      <alignment horizontal="center" vertical="center" wrapText="1"/>
    </xf>
    <xf numFmtId="0" fontId="19" fillId="0" borderId="1" xfId="3" applyFont="1" applyFill="1" applyBorder="1" applyAlignment="1">
      <alignment vertical="top" wrapText="1"/>
    </xf>
    <xf numFmtId="0" fontId="19" fillId="3" borderId="1" xfId="3" applyFont="1" applyFill="1" applyBorder="1" applyAlignment="1">
      <alignment vertical="top"/>
    </xf>
    <xf numFmtId="0" fontId="9" fillId="3" borderId="0" xfId="3" applyFill="1" applyBorder="1"/>
    <xf numFmtId="0" fontId="9" fillId="0" borderId="0" xfId="3" applyFill="1" applyBorder="1"/>
    <xf numFmtId="0" fontId="12" fillId="0" borderId="1" xfId="3" applyFont="1" applyBorder="1" applyAlignment="1">
      <alignment horizontal="left" vertical="top" wrapText="1"/>
    </xf>
    <xf numFmtId="0" fontId="10" fillId="0" borderId="0" xfId="3" applyFont="1" applyBorder="1"/>
    <xf numFmtId="0" fontId="0" fillId="0" borderId="0" xfId="0" applyAlignment="1">
      <alignment horizontal="left" vertical="top" wrapText="1"/>
    </xf>
    <xf numFmtId="0" fontId="0" fillId="0" borderId="0" xfId="0" applyAlignment="1">
      <alignment horizontal="left" vertical="top"/>
    </xf>
    <xf numFmtId="0" fontId="11" fillId="0" borderId="0" xfId="0" applyFont="1" applyAlignment="1">
      <alignment horizontal="left" vertical="top"/>
    </xf>
    <xf numFmtId="0" fontId="24" fillId="0" borderId="0" xfId="1" applyFont="1" applyBorder="1" applyAlignment="1">
      <alignment horizontal="left" vertical="top" wrapText="1"/>
    </xf>
    <xf numFmtId="0" fontId="24" fillId="0" borderId="1" xfId="1" applyFont="1" applyFill="1" applyBorder="1" applyAlignment="1">
      <alignment horizontal="left" vertical="top" wrapText="1"/>
    </xf>
    <xf numFmtId="0" fontId="10" fillId="0" borderId="0" xfId="3" applyFont="1" applyFill="1" applyBorder="1"/>
    <xf numFmtId="0" fontId="19" fillId="0" borderId="0" xfId="0" applyFont="1" applyAlignment="1">
      <alignment horizontal="left" vertical="justify" wrapText="1"/>
    </xf>
    <xf numFmtId="0" fontId="19" fillId="0" borderId="1" xfId="0" applyFont="1" applyFill="1" applyBorder="1" applyAlignment="1">
      <alignment horizontal="left" vertical="justify" wrapText="1"/>
    </xf>
    <xf numFmtId="0" fontId="25" fillId="6" borderId="1" xfId="0" applyFont="1" applyFill="1" applyBorder="1" applyAlignment="1">
      <alignment horizontal="left" vertical="center" wrapText="1"/>
    </xf>
    <xf numFmtId="2" fontId="16" fillId="6" borderId="1" xfId="4" applyNumberFormat="1" applyFont="1" applyFill="1" applyBorder="1" applyAlignment="1">
      <alignment horizontal="center" vertical="center" wrapText="1"/>
    </xf>
    <xf numFmtId="0" fontId="19" fillId="0" borderId="0" xfId="0" applyFont="1" applyBorder="1" applyAlignment="1">
      <alignment horizontal="left" vertical="justify" wrapText="1"/>
    </xf>
    <xf numFmtId="0" fontId="19" fillId="0" borderId="0" xfId="0" applyFont="1" applyFill="1" applyBorder="1" applyAlignment="1">
      <alignment horizontal="left" vertical="justify" wrapText="1"/>
    </xf>
    <xf numFmtId="0" fontId="19" fillId="0" borderId="0" xfId="3" applyFont="1" applyBorder="1" applyAlignment="1">
      <alignment vertical="top" wrapText="1"/>
    </xf>
    <xf numFmtId="0" fontId="19" fillId="0" borderId="0" xfId="3" applyFont="1" applyFill="1" applyBorder="1" applyAlignment="1">
      <alignment vertical="top" wrapText="1"/>
    </xf>
    <xf numFmtId="0" fontId="11" fillId="0" borderId="0" xfId="4" applyFont="1" applyFill="1" applyBorder="1" applyAlignment="1">
      <alignment vertical="center" wrapText="1"/>
    </xf>
    <xf numFmtId="0" fontId="19" fillId="0" borderId="0" xfId="3" applyFont="1" applyBorder="1" applyAlignment="1">
      <alignment vertical="center" wrapText="1"/>
    </xf>
    <xf numFmtId="0" fontId="19" fillId="0" borderId="0" xfId="3" applyFont="1" applyBorder="1" applyAlignment="1">
      <alignment horizontal="center" vertical="top" wrapText="1"/>
    </xf>
    <xf numFmtId="0" fontId="19" fillId="0" borderId="0" xfId="3" applyFont="1" applyFill="1" applyBorder="1" applyAlignment="1">
      <alignment horizontal="center" vertical="top" wrapText="1"/>
    </xf>
    <xf numFmtId="0" fontId="11" fillId="0" borderId="0" xfId="4" applyFont="1" applyFill="1" applyBorder="1" applyAlignment="1">
      <alignment horizontal="center" vertical="center" wrapText="1"/>
    </xf>
    <xf numFmtId="0" fontId="16" fillId="0" borderId="0" xfId="3" applyFont="1" applyFill="1" applyBorder="1" applyAlignment="1">
      <alignment vertical="top" wrapText="1"/>
    </xf>
    <xf numFmtId="0" fontId="26" fillId="0" borderId="0" xfId="3" applyFont="1" applyBorder="1" applyAlignment="1">
      <alignment vertical="top" wrapText="1"/>
    </xf>
    <xf numFmtId="0" fontId="26" fillId="0" borderId="0" xfId="3" applyFont="1" applyFill="1" applyBorder="1" applyAlignment="1">
      <alignment vertical="top" wrapText="1"/>
    </xf>
    <xf numFmtId="0" fontId="9" fillId="0" borderId="0" xfId="3" applyBorder="1" applyAlignment="1">
      <alignment vertical="top" wrapText="1"/>
    </xf>
    <xf numFmtId="0" fontId="9" fillId="0" borderId="0" xfId="3" applyFill="1" applyBorder="1" applyAlignment="1">
      <alignment vertical="top" wrapText="1"/>
    </xf>
    <xf numFmtId="0" fontId="27" fillId="0" borderId="0" xfId="3" applyFont="1" applyBorder="1" applyAlignment="1">
      <alignment horizontal="right" vertical="top" wrapText="1"/>
    </xf>
    <xf numFmtId="0" fontId="27" fillId="0" borderId="0" xfId="3" applyFont="1" applyFill="1" applyBorder="1" applyAlignment="1">
      <alignment horizontal="right" vertical="top" wrapText="1"/>
    </xf>
    <xf numFmtId="0" fontId="11" fillId="0" borderId="0" xfId="4" applyFont="1" applyFill="1" applyBorder="1" applyAlignment="1">
      <alignment horizontal="right" vertical="center" wrapText="1"/>
    </xf>
    <xf numFmtId="0" fontId="9" fillId="0" borderId="0" xfId="3" applyFont="1" applyBorder="1"/>
    <xf numFmtId="0" fontId="12" fillId="6" borderId="1" xfId="3" applyFont="1" applyFill="1" applyBorder="1" applyAlignment="1">
      <alignment horizontal="center" vertical="top" wrapText="1"/>
    </xf>
    <xf numFmtId="0" fontId="19" fillId="0" borderId="0" xfId="3" applyFont="1" applyAlignment="1">
      <alignment horizontal="center" vertical="center" wrapText="1"/>
    </xf>
    <xf numFmtId="0" fontId="12" fillId="0" borderId="0" xfId="3" applyFont="1" applyBorder="1" applyAlignment="1">
      <alignment horizontal="left" vertical="top" wrapText="1"/>
    </xf>
    <xf numFmtId="0" fontId="19" fillId="0" borderId="0" xfId="3" applyFont="1" applyBorder="1" applyAlignment="1">
      <alignment horizontal="center" vertical="center" wrapText="1"/>
    </xf>
    <xf numFmtId="0" fontId="16" fillId="0" borderId="0" xfId="3" applyFont="1" applyFill="1" applyBorder="1" applyAlignment="1">
      <alignment horizontal="center" vertical="center" wrapText="1"/>
    </xf>
    <xf numFmtId="0" fontId="26" fillId="0" borderId="0" xfId="3" applyFont="1" applyBorder="1" applyAlignment="1">
      <alignment horizontal="center" vertical="center" wrapText="1"/>
    </xf>
    <xf numFmtId="0" fontId="12" fillId="0" borderId="0" xfId="3" applyFont="1" applyFill="1" applyBorder="1" applyAlignment="1">
      <alignment horizontal="left" vertical="top" wrapText="1"/>
    </xf>
    <xf numFmtId="0" fontId="9" fillId="0" borderId="0" xfId="3" applyBorder="1" applyAlignment="1">
      <alignment horizontal="left" vertical="top" wrapText="1"/>
    </xf>
    <xf numFmtId="0" fontId="9" fillId="0" borderId="0" xfId="3" applyBorder="1" applyAlignment="1">
      <alignment horizontal="center" vertical="center" wrapText="1"/>
    </xf>
    <xf numFmtId="0" fontId="27" fillId="0" borderId="0" xfId="3" applyFont="1" applyBorder="1" applyAlignment="1">
      <alignment horizontal="center" vertical="center" wrapText="1"/>
    </xf>
    <xf numFmtId="0" fontId="9" fillId="0" borderId="0" xfId="3" applyFill="1" applyAlignment="1">
      <alignment horizontal="center" vertical="center" wrapText="1"/>
    </xf>
    <xf numFmtId="0" fontId="12" fillId="0" borderId="0" xfId="3" applyFont="1" applyFill="1" applyAlignment="1">
      <alignment horizontal="left" vertical="top" wrapText="1"/>
    </xf>
    <xf numFmtId="0" fontId="9" fillId="0" borderId="0" xfId="3" applyFill="1" applyAlignment="1">
      <alignment horizontal="left" vertical="top" wrapText="1"/>
    </xf>
    <xf numFmtId="0" fontId="0" fillId="0" borderId="0" xfId="0" applyFill="1" applyAlignment="1">
      <alignment horizontal="left" vertical="top" wrapText="1"/>
    </xf>
    <xf numFmtId="0" fontId="9" fillId="0" borderId="0" xfId="3" applyFill="1" applyBorder="1" applyAlignment="1">
      <alignment horizontal="center" vertical="center" wrapText="1"/>
    </xf>
    <xf numFmtId="0" fontId="5" fillId="0" borderId="0" xfId="0" applyFont="1" applyAlignment="1">
      <alignment wrapText="1"/>
    </xf>
    <xf numFmtId="0" fontId="28" fillId="0" borderId="10" xfId="0" applyFont="1" applyBorder="1" applyAlignment="1">
      <alignment horizontal="left" wrapText="1"/>
    </xf>
    <xf numFmtId="0" fontId="28" fillId="0" borderId="1" xfId="0" applyFont="1" applyBorder="1" applyAlignment="1">
      <alignment horizontal="left" wrapText="1"/>
    </xf>
    <xf numFmtId="0" fontId="28" fillId="0" borderId="11" xfId="0" applyFont="1" applyBorder="1" applyAlignment="1">
      <alignment horizontal="left" wrapText="1"/>
    </xf>
    <xf numFmtId="0" fontId="5" fillId="0" borderId="7" xfId="0" applyFont="1" applyBorder="1" applyAlignment="1">
      <alignment horizontal="left" wrapText="1"/>
    </xf>
    <xf numFmtId="0" fontId="5" fillId="0" borderId="1" xfId="0" applyFont="1" applyBorder="1" applyAlignment="1">
      <alignment horizontal="left" wrapText="1"/>
    </xf>
    <xf numFmtId="0" fontId="5" fillId="0" borderId="9" xfId="0" applyFont="1" applyBorder="1" applyAlignment="1">
      <alignment horizontal="left" wrapText="1"/>
    </xf>
    <xf numFmtId="0" fontId="5" fillId="0" borderId="6" xfId="0" applyFont="1" applyBorder="1" applyAlignment="1">
      <alignment horizontal="left" wrapText="1"/>
    </xf>
    <xf numFmtId="0" fontId="5" fillId="0" borderId="0" xfId="0" applyFont="1" applyAlignment="1">
      <alignment horizontal="left"/>
    </xf>
    <xf numFmtId="0" fontId="28" fillId="0" borderId="1" xfId="0" applyFont="1" applyBorder="1" applyAlignment="1">
      <alignment wrapText="1"/>
    </xf>
    <xf numFmtId="0" fontId="5" fillId="0" borderId="1" xfId="0" applyFont="1" applyBorder="1" applyAlignment="1">
      <alignment wrapText="1"/>
    </xf>
    <xf numFmtId="0" fontId="19" fillId="0" borderId="0" xfId="1" quotePrefix="1" applyFont="1" applyBorder="1" applyAlignment="1">
      <alignment horizontal="left" vertical="top" wrapText="1"/>
    </xf>
    <xf numFmtId="0" fontId="7" fillId="9" borderId="0" xfId="2" applyFont="1" applyFill="1" applyAlignment="1">
      <alignment vertical="top"/>
    </xf>
    <xf numFmtId="0" fontId="5" fillId="9" borderId="0" xfId="0" applyFont="1" applyFill="1" applyAlignment="1">
      <alignment vertical="top"/>
    </xf>
    <xf numFmtId="0" fontId="6" fillId="0" borderId="1" xfId="2" applyFont="1" applyBorder="1" applyAlignment="1">
      <alignment wrapText="1"/>
    </xf>
    <xf numFmtId="0" fontId="43" fillId="9" borderId="1" xfId="2" applyFont="1" applyFill="1" applyBorder="1" applyAlignment="1">
      <alignment wrapText="1"/>
    </xf>
    <xf numFmtId="0" fontId="7" fillId="2" borderId="1" xfId="2" applyFont="1" applyFill="1" applyBorder="1" applyAlignment="1">
      <alignment vertical="top"/>
    </xf>
    <xf numFmtId="0" fontId="7" fillId="2" borderId="1" xfId="2" applyFont="1" applyFill="1" applyBorder="1" applyAlignment="1">
      <alignment vertical="top" wrapText="1"/>
    </xf>
    <xf numFmtId="0" fontId="7" fillId="10" borderId="1" xfId="2" applyFont="1" applyFill="1" applyBorder="1" applyAlignment="1">
      <alignment vertical="top"/>
    </xf>
    <xf numFmtId="0" fontId="5" fillId="0" borderId="1" xfId="0" applyFont="1" applyBorder="1" applyAlignment="1">
      <alignment vertical="top"/>
    </xf>
    <xf numFmtId="0" fontId="7" fillId="0" borderId="1" xfId="2" applyFont="1" applyBorder="1" applyAlignment="1">
      <alignment vertical="top"/>
    </xf>
    <xf numFmtId="0" fontId="7" fillId="0" borderId="1" xfId="2" applyFont="1" applyBorder="1" applyAlignment="1">
      <alignment vertical="top" wrapText="1"/>
    </xf>
    <xf numFmtId="0" fontId="7" fillId="9" borderId="1" xfId="2" applyFont="1" applyFill="1" applyBorder="1" applyAlignment="1">
      <alignment vertical="top"/>
    </xf>
    <xf numFmtId="0" fontId="8" fillId="0" borderId="1" xfId="2" applyFont="1" applyBorder="1" applyAlignment="1">
      <alignment vertical="top"/>
    </xf>
    <xf numFmtId="0" fontId="7" fillId="0" borderId="1" xfId="2" applyFont="1" applyBorder="1" applyAlignment="1">
      <alignment horizontal="left" vertical="top"/>
    </xf>
    <xf numFmtId="0" fontId="7" fillId="0" borderId="1" xfId="2" applyFont="1" applyFill="1" applyBorder="1" applyAlignment="1">
      <alignment vertical="top" wrapText="1"/>
    </xf>
    <xf numFmtId="0" fontId="7" fillId="0" borderId="1" xfId="2" applyFont="1" applyFill="1" applyBorder="1" applyAlignment="1">
      <alignment vertical="top"/>
    </xf>
    <xf numFmtId="0" fontId="7" fillId="0" borderId="1" xfId="2" applyFont="1" applyBorder="1" applyAlignment="1">
      <alignment horizontal="left" vertical="top" wrapText="1"/>
    </xf>
    <xf numFmtId="0" fontId="7" fillId="0" borderId="1" xfId="2" applyFont="1" applyFill="1" applyBorder="1" applyAlignment="1">
      <alignment horizontal="left" vertical="top" wrapText="1"/>
    </xf>
    <xf numFmtId="0" fontId="44" fillId="0" borderId="1" xfId="2" applyFont="1" applyBorder="1" applyAlignment="1">
      <alignment vertical="top" wrapText="1"/>
    </xf>
    <xf numFmtId="0" fontId="45" fillId="0" borderId="0" xfId="0" applyFont="1"/>
    <xf numFmtId="0" fontId="46" fillId="0" borderId="0" xfId="0" applyFont="1" applyAlignment="1">
      <alignment horizontal="center"/>
    </xf>
    <xf numFmtId="0" fontId="3" fillId="0" borderId="0" xfId="0" applyFont="1" applyAlignment="1">
      <alignment horizontal="right"/>
    </xf>
    <xf numFmtId="0" fontId="49" fillId="0" borderId="0" xfId="0" applyFont="1"/>
    <xf numFmtId="0" fontId="2" fillId="0" borderId="0" xfId="0" applyFont="1"/>
    <xf numFmtId="0" fontId="50" fillId="11" borderId="0" xfId="7" applyFont="1"/>
    <xf numFmtId="0" fontId="48" fillId="11" borderId="1" xfId="7" applyFont="1" applyBorder="1"/>
    <xf numFmtId="0" fontId="49" fillId="0" borderId="1" xfId="0" applyFont="1" applyBorder="1"/>
    <xf numFmtId="0" fontId="49" fillId="0" borderId="1" xfId="0" applyFont="1" applyBorder="1" applyAlignment="1">
      <alignment horizontal="justify"/>
    </xf>
    <xf numFmtId="0" fontId="49" fillId="0" borderId="1" xfId="0" applyFont="1" applyBorder="1" applyAlignment="1">
      <alignment horizontal="justify" vertical="top" wrapText="1"/>
    </xf>
    <xf numFmtId="0" fontId="48" fillId="11" borderId="7" xfId="7" applyFont="1" applyBorder="1"/>
    <xf numFmtId="0" fontId="49" fillId="0" borderId="7" xfId="0" applyFont="1" applyBorder="1"/>
    <xf numFmtId="0" fontId="49" fillId="0" borderId="7" xfId="0" applyFont="1" applyBorder="1" applyAlignment="1">
      <alignment vertical="top" wrapText="1"/>
    </xf>
    <xf numFmtId="0" fontId="0" fillId="0" borderId="1" xfId="0" applyBorder="1"/>
    <xf numFmtId="0" fontId="2" fillId="0" borderId="1" xfId="0" applyFont="1" applyBorder="1"/>
    <xf numFmtId="0" fontId="47" fillId="11" borderId="1" xfId="7" applyBorder="1"/>
    <xf numFmtId="0" fontId="52" fillId="11" borderId="1" xfId="7" applyFont="1" applyBorder="1" applyAlignment="1">
      <alignment horizontal="justify" vertical="top" wrapText="1"/>
    </xf>
    <xf numFmtId="0" fontId="52" fillId="11" borderId="7" xfId="7" applyFont="1" applyBorder="1" applyAlignment="1">
      <alignment vertical="top" wrapText="1"/>
    </xf>
    <xf numFmtId="0" fontId="52" fillId="11" borderId="1" xfId="7" applyFont="1" applyBorder="1"/>
    <xf numFmtId="0" fontId="52" fillId="11" borderId="7" xfId="7" applyFont="1" applyBorder="1"/>
    <xf numFmtId="0" fontId="0" fillId="0" borderId="1" xfId="0" applyBorder="1" applyAlignment="1">
      <alignment horizontal="center"/>
    </xf>
    <xf numFmtId="0" fontId="47" fillId="11" borderId="1" xfId="7" applyBorder="1" applyAlignment="1">
      <alignment horizontal="center"/>
    </xf>
    <xf numFmtId="0" fontId="2" fillId="0" borderId="1" xfId="0" applyFont="1" applyBorder="1" applyAlignment="1">
      <alignment horizontal="center"/>
    </xf>
    <xf numFmtId="0" fontId="51" fillId="0" borderId="0" xfId="0" applyFont="1" applyAlignment="1">
      <alignment horizontal="center"/>
    </xf>
    <xf numFmtId="0" fontId="54" fillId="0" borderId="0" xfId="0" applyFont="1"/>
    <xf numFmtId="0" fontId="55" fillId="0" borderId="0" xfId="0" applyFont="1"/>
    <xf numFmtId="0" fontId="56" fillId="0" borderId="0" xfId="0" applyFont="1"/>
    <xf numFmtId="0" fontId="53" fillId="0" borderId="0" xfId="0" applyFont="1"/>
    <xf numFmtId="0" fontId="54" fillId="0" borderId="0" xfId="0" applyFont="1" applyAlignment="1">
      <alignment horizontal="left" indent="2"/>
    </xf>
    <xf numFmtId="0" fontId="58" fillId="0" borderId="0" xfId="0" applyFont="1"/>
    <xf numFmtId="0" fontId="55" fillId="0" borderId="0" xfId="0" applyFont="1" applyAlignment="1">
      <alignment horizontal="left" indent="2"/>
    </xf>
    <xf numFmtId="0" fontId="0" fillId="0" borderId="0" xfId="0" applyAlignment="1">
      <alignment wrapText="1"/>
    </xf>
    <xf numFmtId="0" fontId="48" fillId="11" borderId="1" xfId="7" applyFont="1" applyBorder="1" applyAlignment="1">
      <alignment wrapText="1"/>
    </xf>
    <xf numFmtId="0" fontId="47" fillId="11" borderId="1" xfId="7" applyBorder="1" applyAlignment="1">
      <alignment wrapText="1"/>
    </xf>
    <xf numFmtId="0" fontId="51" fillId="0" borderId="0" xfId="0" applyFont="1" applyAlignment="1"/>
    <xf numFmtId="0" fontId="47" fillId="11" borderId="1" xfId="7" applyBorder="1" applyAlignment="1"/>
    <xf numFmtId="0" fontId="49" fillId="0" borderId="1" xfId="0" applyFont="1" applyBorder="1" applyAlignment="1"/>
    <xf numFmtId="0" fontId="49" fillId="0" borderId="1" xfId="0" applyFont="1" applyBorder="1" applyAlignment="1">
      <alignment wrapText="1"/>
    </xf>
    <xf numFmtId="0" fontId="49" fillId="0" borderId="1" xfId="0" applyNumberFormat="1" applyFont="1" applyBorder="1" applyAlignment="1">
      <alignment wrapText="1"/>
    </xf>
    <xf numFmtId="0" fontId="59" fillId="11" borderId="1" xfId="7" applyFont="1" applyBorder="1" applyAlignment="1"/>
    <xf numFmtId="0" fontId="49" fillId="0" borderId="0" xfId="0" applyFont="1" applyAlignment="1">
      <alignment horizontal="center"/>
    </xf>
    <xf numFmtId="0" fontId="49" fillId="0" borderId="1" xfId="0" applyFont="1" applyBorder="1" applyAlignment="1">
      <alignment horizontal="center" vertical="center" wrapText="1"/>
    </xf>
    <xf numFmtId="0" fontId="49" fillId="0" borderId="1" xfId="0" applyFont="1" applyBorder="1" applyAlignment="1">
      <alignment horizontal="center" wrapText="1"/>
    </xf>
    <xf numFmtId="0" fontId="49" fillId="0" borderId="0" xfId="0" applyFont="1" applyAlignment="1">
      <alignment horizontal="center" vertical="center"/>
    </xf>
    <xf numFmtId="164" fontId="0" fillId="0" borderId="1" xfId="0" applyNumberFormat="1" applyBorder="1" applyAlignment="1">
      <alignment horizontal="left"/>
    </xf>
    <xf numFmtId="0" fontId="1" fillId="0" borderId="1" xfId="0" applyFont="1" applyBorder="1"/>
    <xf numFmtId="0" fontId="49" fillId="0" borderId="1" xfId="0" applyFont="1" applyBorder="1" applyAlignment="1">
      <alignment vertical="center" wrapText="1"/>
    </xf>
    <xf numFmtId="0" fontId="1" fillId="0" borderId="1" xfId="0" applyFont="1" applyBorder="1" applyAlignment="1">
      <alignment wrapText="1"/>
    </xf>
    <xf numFmtId="0" fontId="0" fillId="0" borderId="1" xfId="0" applyBorder="1" applyAlignment="1">
      <alignment wrapText="1"/>
    </xf>
    <xf numFmtId="0" fontId="1" fillId="0" borderId="1" xfId="0" applyFont="1" applyBorder="1" applyAlignment="1">
      <alignment vertical="top"/>
    </xf>
    <xf numFmtId="164" fontId="0" fillId="0" borderId="1" xfId="0" applyNumberFormat="1" applyBorder="1" applyAlignment="1">
      <alignment horizontal="left" vertical="top"/>
    </xf>
    <xf numFmtId="0" fontId="5" fillId="0" borderId="1" xfId="0" applyFont="1" applyBorder="1" applyAlignment="1">
      <alignment wrapText="1"/>
    </xf>
    <xf numFmtId="0" fontId="29" fillId="0" borderId="1" xfId="0" applyFont="1" applyBorder="1" applyAlignment="1">
      <alignment wrapText="1"/>
    </xf>
    <xf numFmtId="0" fontId="5" fillId="0" borderId="1" xfId="0" applyFont="1" applyBorder="1" applyAlignment="1">
      <alignment horizontal="left" wrapText="1"/>
    </xf>
    <xf numFmtId="0" fontId="5" fillId="0" borderId="6" xfId="0" applyFont="1" applyBorder="1" applyAlignment="1">
      <alignment horizontal="left" wrapText="1"/>
    </xf>
    <xf numFmtId="0" fontId="5" fillId="0" borderId="8" xfId="0" applyFont="1" applyBorder="1" applyAlignment="1">
      <alignment horizontal="left" wrapText="1"/>
    </xf>
    <xf numFmtId="0" fontId="49" fillId="0" borderId="6" xfId="0" applyFont="1" applyBorder="1" applyAlignment="1">
      <alignment horizontal="center" vertical="center" wrapText="1"/>
    </xf>
    <xf numFmtId="0" fontId="49" fillId="0" borderId="13" xfId="0" applyFont="1" applyBorder="1" applyAlignment="1">
      <alignment horizontal="center" vertical="center" wrapText="1"/>
    </xf>
    <xf numFmtId="0" fontId="49" fillId="0" borderId="8" xfId="0" applyFont="1" applyBorder="1" applyAlignment="1">
      <alignment horizontal="center" vertical="center" wrapText="1"/>
    </xf>
    <xf numFmtId="0" fontId="1" fillId="0" borderId="6" xfId="0" applyFont="1" applyBorder="1" applyAlignment="1">
      <alignment horizontal="center" vertical="center" wrapText="1"/>
    </xf>
    <xf numFmtId="0" fontId="0" fillId="0" borderId="13" xfId="0" applyBorder="1" applyAlignment="1">
      <alignment horizontal="center" vertical="center" wrapText="1"/>
    </xf>
    <xf numFmtId="0" fontId="0" fillId="0" borderId="8" xfId="0" applyBorder="1" applyAlignment="1">
      <alignment horizontal="center" vertical="center" wrapText="1"/>
    </xf>
    <xf numFmtId="0" fontId="51" fillId="0" borderId="6" xfId="0" applyFont="1" applyBorder="1" applyAlignment="1">
      <alignment horizontal="center" vertical="center"/>
    </xf>
    <xf numFmtId="0" fontId="51" fillId="0" borderId="13" xfId="0" applyFont="1" applyBorder="1" applyAlignment="1">
      <alignment horizontal="center" vertical="center"/>
    </xf>
    <xf numFmtId="0" fontId="51" fillId="0" borderId="8" xfId="0" applyFont="1" applyBorder="1" applyAlignment="1">
      <alignment horizontal="center" vertical="center"/>
    </xf>
    <xf numFmtId="0" fontId="49" fillId="0" borderId="6" xfId="0" applyFont="1" applyBorder="1" applyAlignment="1">
      <alignment horizontal="center"/>
    </xf>
    <xf numFmtId="0" fontId="49" fillId="0" borderId="8" xfId="0" applyFont="1" applyBorder="1" applyAlignment="1">
      <alignment horizontal="center"/>
    </xf>
    <xf numFmtId="0" fontId="49" fillId="0" borderId="6" xfId="0" applyFont="1" applyBorder="1" applyAlignment="1">
      <alignment horizontal="center" wrapText="1"/>
    </xf>
    <xf numFmtId="0" fontId="49" fillId="0" borderId="13" xfId="0" applyFont="1" applyBorder="1" applyAlignment="1">
      <alignment horizontal="center"/>
    </xf>
    <xf numFmtId="0" fontId="49" fillId="0" borderId="6" xfId="0" applyFont="1" applyBorder="1" applyAlignment="1">
      <alignment horizontal="center" vertical="center"/>
    </xf>
    <xf numFmtId="0" fontId="49" fillId="0" borderId="13" xfId="0" applyFont="1" applyBorder="1" applyAlignment="1">
      <alignment horizontal="center" vertical="center"/>
    </xf>
    <xf numFmtId="0" fontId="49" fillId="0" borderId="8" xfId="0" applyFont="1" applyBorder="1" applyAlignment="1">
      <alignment horizontal="center" vertical="center"/>
    </xf>
  </cellXfs>
  <cellStyles count="8">
    <cellStyle name="Normal 2" xfId="1" xr:uid="{00000000-0005-0000-0000-000004000000}"/>
    <cellStyle name="Normal 3" xfId="5" xr:uid="{00000000-0005-0000-0000-000005000000}"/>
    <cellStyle name="Normal 3 2" xfId="3" xr:uid="{00000000-0005-0000-0000-000006000000}"/>
    <cellStyle name="Normal 4" xfId="2" xr:uid="{00000000-0005-0000-0000-000007000000}"/>
    <cellStyle name="Ввод " xfId="4" builtinId="20"/>
    <cellStyle name="Гиперссылка" xfId="6" builtinId="8"/>
    <cellStyle name="Обычный" xfId="0" builtinId="0"/>
    <cellStyle name="Хороший" xfId="7" builtinId="26"/>
  </cellStyles>
  <dxfs count="0"/>
  <tableStyles count="0" defaultTableStyle="TableStyleMedium2"/>
  <colors>
    <mruColors>
      <color rgb="FF9A0293"/>
      <color rgb="FFAA06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44027</xdr:colOff>
      <xdr:row>4</xdr:row>
      <xdr:rowOff>143933</xdr:rowOff>
    </xdr:from>
    <xdr:to>
      <xdr:col>2</xdr:col>
      <xdr:colOff>5804747</xdr:colOff>
      <xdr:row>15</xdr:row>
      <xdr:rowOff>31537</xdr:rowOff>
    </xdr:to>
    <xdr:pic>
      <xdr:nvPicPr>
        <xdr:cNvPr id="2" name="Picture 1" descr="Maib, un brand reînnoit: modern, agil, inovator | maib">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63227" y="889000"/>
          <a:ext cx="5760720" cy="1961938"/>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323850</xdr:colOff>
      <xdr:row>5</xdr:row>
      <xdr:rowOff>88900</xdr:rowOff>
    </xdr:from>
    <xdr:ext cx="184731" cy="251860"/>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7042150" y="946150"/>
          <a:ext cx="184150" cy="2514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127000</xdr:colOff>
      <xdr:row>1</xdr:row>
      <xdr:rowOff>69850</xdr:rowOff>
    </xdr:from>
    <xdr:to>
      <xdr:col>18</xdr:col>
      <xdr:colOff>469900</xdr:colOff>
      <xdr:row>61</xdr:row>
      <xdr:rowOff>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27000" y="241300"/>
          <a:ext cx="12435840" cy="10217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dk1"/>
              </a:solidFill>
              <a:effectLst/>
              <a:latin typeface="+mn-lt"/>
              <a:ea typeface="+mn-ea"/>
              <a:cs typeface="+mn-cs"/>
            </a:rPr>
            <a:t>How to Use This Tool</a:t>
          </a:r>
          <a:endParaRPr lang="en-US" sz="1100">
            <a:solidFill>
              <a:schemeClr val="dk1"/>
            </a:solidFill>
            <a:effectLst/>
            <a:latin typeface="+mn-lt"/>
            <a:ea typeface="+mn-ea"/>
            <a:cs typeface="+mn-cs"/>
          </a:endParaRPr>
        </a:p>
        <a:p>
          <a:br>
            <a:rPr lang="en-US" sz="1100">
              <a:solidFill>
                <a:schemeClr val="dk1"/>
              </a:solidFill>
              <a:effectLst/>
              <a:latin typeface="+mn-lt"/>
              <a:ea typeface="+mn-ea"/>
              <a:cs typeface="+mn-cs"/>
            </a:rPr>
          </a:br>
          <a:r>
            <a:rPr lang="en-US" sz="1100">
              <a:solidFill>
                <a:schemeClr val="dk1"/>
              </a:solidFill>
              <a:effectLst/>
              <a:latin typeface="+mn-lt"/>
              <a:ea typeface="+mn-ea"/>
              <a:cs typeface="+mn-cs"/>
            </a:rPr>
            <a:t>This assessment tool was created to evaluate the maturity of higher education information security programs using as a framework the International Organization for Standardization (ISO) 2700</a:t>
          </a:r>
          <a:r>
            <a:rPr lang="x-none" altLang="en-US" sz="1100">
              <a:solidFill>
                <a:schemeClr val="dk1"/>
              </a:solidFill>
              <a:effectLst/>
              <a:latin typeface="+mn-lt"/>
              <a:ea typeface="+mn-ea"/>
              <a:cs typeface="+mn-cs"/>
            </a:rPr>
            <a:t>1</a:t>
          </a:r>
          <a:r>
            <a:rPr lang="en-US" sz="1100">
              <a:solidFill>
                <a:schemeClr val="dk1"/>
              </a:solidFill>
              <a:effectLst/>
              <a:latin typeface="+mn-lt"/>
              <a:ea typeface="+mn-ea"/>
              <a:cs typeface="+mn-cs"/>
            </a:rPr>
            <a:t>:2013 This tool was intended for use by an institution as a whole, although a unit within an institution may also use it to help determine the maturity of its individual information security program. Unless otherwise noted, it should be completed by chief information officer, chief information security officer or equivalent, or a designee. There are a total of 101 questions and on average it takes about 2 hours for an information security officer or equivalent, familiar with their environment, to complete this tool.</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 self-assessment has been designed to be completed annually or at the frequency your institution feels is appropriate to track maturity. The assessment tool uses the </a:t>
          </a:r>
          <a:r>
            <a:rPr lang="x-none" altLang="en-US" sz="1100">
              <a:solidFill>
                <a:schemeClr val="dk1"/>
              </a:solidFill>
              <a:effectLst/>
              <a:latin typeface="+mn-lt"/>
              <a:ea typeface="+mn-ea"/>
              <a:cs typeface="+mn-cs"/>
            </a:rPr>
            <a:t>COBIT </a:t>
          </a:r>
          <a:r>
            <a:rPr lang="en-US" sz="1100">
              <a:solidFill>
                <a:schemeClr val="dk1"/>
              </a:solidFill>
              <a:effectLst/>
              <a:latin typeface="+mn-lt"/>
              <a:ea typeface="+mn-ea"/>
              <a:cs typeface="+mn-cs"/>
            </a:rPr>
            <a:t>framework for scoring maturity, which scales from 0 to 5, with 5 being the highest level of maturity:</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0.</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Not Performed </a:t>
          </a:r>
          <a:r>
            <a:rPr lang="x-none" altLang="en-US" sz="1100">
              <a:solidFill>
                <a:schemeClr val="dk1"/>
              </a:solidFill>
              <a:effectLst/>
              <a:latin typeface="+mn-lt"/>
              <a:ea typeface="+mn-ea"/>
              <a:cs typeface="+mn-cs"/>
            </a:rPr>
            <a:t>(Incomplete)</a:t>
          </a:r>
        </a:p>
        <a:p>
          <a:pPr lvl="0"/>
          <a:r>
            <a:rPr lang="en-US" sz="1100">
              <a:solidFill>
                <a:schemeClr val="dk1"/>
              </a:solidFill>
              <a:effectLst/>
              <a:latin typeface="+mn-lt"/>
              <a:ea typeface="+mn-ea"/>
              <a:cs typeface="+mn-cs"/>
            </a:rPr>
            <a:t>1. Performed Informally </a:t>
          </a:r>
        </a:p>
        <a:p>
          <a:pPr lvl="0"/>
          <a:r>
            <a:rPr lang="en-US" sz="1100">
              <a:solidFill>
                <a:schemeClr val="dk1"/>
              </a:solidFill>
              <a:effectLst/>
              <a:latin typeface="+mn-lt"/>
              <a:ea typeface="+mn-ea"/>
              <a:cs typeface="+mn-cs"/>
            </a:rPr>
            <a:t>2. Planned </a:t>
          </a:r>
          <a:r>
            <a:rPr lang="x-none" altLang="en-US" sz="1100">
              <a:solidFill>
                <a:schemeClr val="dk1"/>
              </a:solidFill>
              <a:effectLst/>
              <a:latin typeface="+mn-lt"/>
              <a:ea typeface="+mn-ea"/>
              <a:cs typeface="+mn-cs"/>
            </a:rPr>
            <a:t>(Managed)</a:t>
          </a:r>
        </a:p>
        <a:p>
          <a:pPr lvl="0"/>
          <a:r>
            <a:rPr lang="en-US" sz="1100">
              <a:solidFill>
                <a:schemeClr val="dk1"/>
              </a:solidFill>
              <a:effectLst/>
              <a:latin typeface="+mn-lt"/>
              <a:ea typeface="+mn-ea"/>
              <a:cs typeface="+mn-cs"/>
            </a:rPr>
            <a:t>3</a:t>
          </a:r>
          <a:r>
            <a:rPr lang="en-US" sz="1100" baseline="0">
              <a:solidFill>
                <a:schemeClr val="dk1"/>
              </a:solidFill>
              <a:effectLst/>
              <a:latin typeface="+mn-lt"/>
              <a:ea typeface="+mn-ea"/>
              <a:cs typeface="+mn-cs"/>
            </a:rPr>
            <a:t>. W</a:t>
          </a:r>
          <a:r>
            <a:rPr lang="en-US" sz="1100">
              <a:solidFill>
                <a:schemeClr val="dk1"/>
              </a:solidFill>
              <a:effectLst/>
              <a:latin typeface="+mn-lt"/>
              <a:ea typeface="+mn-ea"/>
              <a:cs typeface="+mn-cs"/>
            </a:rPr>
            <a:t>ell Defined </a:t>
          </a:r>
          <a:r>
            <a:rPr lang="x-none" altLang="en-US" sz="1100">
              <a:solidFill>
                <a:schemeClr val="dk1"/>
              </a:solidFill>
              <a:effectLst/>
              <a:latin typeface="+mn-lt"/>
              <a:ea typeface="+mn-ea"/>
              <a:cs typeface="+mn-cs"/>
            </a:rPr>
            <a:t>(Established)</a:t>
          </a:r>
        </a:p>
        <a:p>
          <a:pPr lvl="0"/>
          <a:r>
            <a:rPr lang="en-US" sz="1100">
              <a:solidFill>
                <a:schemeClr val="dk1"/>
              </a:solidFill>
              <a:effectLst/>
              <a:latin typeface="+mn-lt"/>
              <a:ea typeface="+mn-ea"/>
              <a:cs typeface="+mn-cs"/>
            </a:rPr>
            <a:t>4. Quantitatively Controlled </a:t>
          </a:r>
          <a:r>
            <a:rPr lang="x-none" altLang="en-US" sz="1100">
              <a:solidFill>
                <a:schemeClr val="dk1"/>
              </a:solidFill>
              <a:effectLst/>
              <a:latin typeface="+mn-lt"/>
              <a:ea typeface="+mn-ea"/>
              <a:cs typeface="+mn-cs"/>
            </a:rPr>
            <a:t>(Predictable)</a:t>
          </a:r>
          <a:r>
            <a:rPr lang="en-US" sz="1100">
              <a:solidFill>
                <a:schemeClr val="dk1"/>
              </a:solidFill>
              <a:effectLst/>
              <a:latin typeface="+mn-lt"/>
              <a:ea typeface="+mn-ea"/>
              <a:cs typeface="+mn-cs"/>
            </a:rPr>
            <a:t> </a:t>
          </a:r>
        </a:p>
        <a:p>
          <a:pPr lvl="0"/>
          <a:r>
            <a:rPr lang="en-US" sz="1100">
              <a:solidFill>
                <a:schemeClr val="dk1"/>
              </a:solidFill>
              <a:effectLst/>
              <a:latin typeface="+mn-lt"/>
              <a:ea typeface="+mn-ea"/>
              <a:cs typeface="+mn-cs"/>
            </a:rPr>
            <a:t>5. Continuously Improving </a:t>
          </a:r>
          <a:r>
            <a:rPr lang="x-none" altLang="en-US" sz="1100">
              <a:solidFill>
                <a:schemeClr val="dk1"/>
              </a:solidFill>
              <a:effectLst/>
              <a:latin typeface="+mn-lt"/>
              <a:ea typeface="+mn-ea"/>
              <a:cs typeface="+mn-cs"/>
            </a:rPr>
            <a:t>(Optimizing)</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Your institution can achieve the same maturity rating by substituting the </a:t>
          </a:r>
          <a:r>
            <a:rPr lang="x-none" altLang="en-US" sz="1100">
              <a:solidFill>
                <a:schemeClr val="dk1"/>
              </a:solidFill>
              <a:effectLst/>
              <a:latin typeface="+mn-lt"/>
              <a:ea typeface="+mn-ea"/>
              <a:cs typeface="+mn-cs"/>
            </a:rPr>
            <a:t>Bank X</a:t>
          </a:r>
          <a:r>
            <a:rPr lang="en-US" sz="1100">
              <a:solidFill>
                <a:schemeClr val="dk1"/>
              </a:solidFill>
              <a:effectLst/>
              <a:latin typeface="+mn-lt"/>
              <a:ea typeface="+mn-ea"/>
              <a:cs typeface="+mn-cs"/>
            </a:rPr>
            <a:t> </a:t>
          </a:r>
          <a:r>
            <a:rPr lang="x-none" altLang="en-US" sz="1100">
              <a:solidFill>
                <a:schemeClr val="dk1"/>
              </a:solidFill>
              <a:effectLst/>
              <a:latin typeface="+mn-lt"/>
              <a:ea typeface="+mn-ea"/>
              <a:cs typeface="+mn-cs"/>
            </a:rPr>
            <a:t>from the Republic of Moldova </a:t>
          </a:r>
          <a:r>
            <a:rPr lang="en-US" sz="1100">
              <a:solidFill>
                <a:schemeClr val="dk1"/>
              </a:solidFill>
              <a:effectLst/>
              <a:latin typeface="+mn-lt"/>
              <a:ea typeface="+mn-ea"/>
              <a:cs typeface="+mn-cs"/>
            </a:rPr>
            <a:t>Information Security Maturity Index levels, CMMI, NIST, COBIT or another maturity framework that may be more familiar, with the same numeric 0 through 5 score. Definitions for the ISO 2</a:t>
          </a:r>
          <a:r>
            <a:rPr lang="x-none" altLang="en-US" sz="1100">
              <a:solidFill>
                <a:schemeClr val="dk1"/>
              </a:solidFill>
              <a:effectLst/>
              <a:latin typeface="+mn-lt"/>
              <a:ea typeface="+mn-ea"/>
              <a:cs typeface="+mn-cs"/>
            </a:rPr>
            <a:t>7001:2013</a:t>
          </a:r>
          <a:r>
            <a:rPr lang="en-US" sz="1100">
              <a:solidFill>
                <a:schemeClr val="dk1"/>
              </a:solidFill>
              <a:effectLst/>
              <a:latin typeface="+mn-lt"/>
              <a:ea typeface="+mn-ea"/>
              <a:cs typeface="+mn-cs"/>
            </a:rPr>
            <a:t> maturity levels and the other ratings can be found on the "How to Score Yourself" tab of the spreadsheet. Answer each question by selecting the appropriate level of maturity, 0–5. Each ISO section will be added up, then averaged to provide a maturity assessment for the given section. </a:t>
          </a:r>
          <a:br>
            <a:rPr lang="en-US" sz="1100">
              <a:solidFill>
                <a:schemeClr val="dk1"/>
              </a:solidFill>
              <a:effectLst/>
              <a:latin typeface="+mn-lt"/>
              <a:ea typeface="+mn-ea"/>
              <a:cs typeface="+mn-cs"/>
            </a:rPr>
          </a:br>
          <a:br>
            <a:rPr lang="en-US" sz="1100">
              <a:solidFill>
                <a:schemeClr val="dk1"/>
              </a:solidFill>
              <a:effectLst/>
              <a:latin typeface="+mn-lt"/>
              <a:ea typeface="+mn-ea"/>
              <a:cs typeface="+mn-cs"/>
            </a:rPr>
          </a:br>
          <a:r>
            <a:rPr lang="en-US" sz="1100">
              <a:solidFill>
                <a:schemeClr val="dk1"/>
              </a:solidFill>
              <a:effectLst/>
              <a:latin typeface="+mn-lt"/>
              <a:ea typeface="+mn-ea"/>
              <a:cs typeface="+mn-cs"/>
            </a:rPr>
            <a:t>Below is a summary of the focus of each section used in the tool:</a:t>
          </a:r>
        </a:p>
        <a:p>
          <a:pPr marL="171450" lvl="0" indent="-171450">
            <a:buFont typeface="Arial" pitchFamily="7" charset="0"/>
            <a:buChar char="•"/>
          </a:pPr>
          <a:r>
            <a:rPr lang="en-US" sz="1100" b="1">
              <a:solidFill>
                <a:schemeClr val="dk1"/>
              </a:solidFill>
              <a:effectLst/>
              <a:latin typeface="+mn-lt"/>
              <a:ea typeface="+mn-ea"/>
              <a:cs typeface="+mn-cs"/>
            </a:rPr>
            <a:t>Information Security Policies (ISO 5)</a:t>
          </a:r>
          <a:r>
            <a:rPr lang="en-US" sz="1100">
              <a:solidFill>
                <a:schemeClr val="dk1"/>
              </a:solidFill>
              <a:effectLst/>
              <a:latin typeface="+mn-lt"/>
              <a:ea typeface="+mn-ea"/>
              <a:cs typeface="+mn-cs"/>
            </a:rPr>
            <a:t>: Assess how an institution expresses its intent with regard to information security.</a:t>
          </a:r>
        </a:p>
        <a:p>
          <a:pPr marL="171450" lvl="0" indent="-171450">
            <a:buFont typeface="Arial" pitchFamily="7" charset="0"/>
            <a:buChar char="•"/>
          </a:pPr>
          <a:r>
            <a:rPr lang="en-US" sz="1100" b="1">
              <a:solidFill>
                <a:schemeClr val="dk1"/>
              </a:solidFill>
              <a:effectLst/>
              <a:latin typeface="+mn-lt"/>
              <a:ea typeface="+mn-ea"/>
              <a:cs typeface="+mn-cs"/>
            </a:rPr>
            <a:t>Organization of Information Security (ISO 6)</a:t>
          </a:r>
          <a:r>
            <a:rPr lang="en-US" sz="1100">
              <a:solidFill>
                <a:schemeClr val="dk1"/>
              </a:solidFill>
              <a:effectLst/>
              <a:latin typeface="+mn-lt"/>
              <a:ea typeface="+mn-ea"/>
              <a:cs typeface="+mn-cs"/>
            </a:rPr>
            <a:t>: Assess how an institution manages its information security across the entire enterprise, including how the institutional leadership commits its support and provides overall direction.</a:t>
          </a:r>
        </a:p>
        <a:p>
          <a:pPr marL="171450" lvl="0" indent="-171450">
            <a:buFont typeface="Arial" pitchFamily="7" charset="0"/>
            <a:buChar char="•"/>
          </a:pPr>
          <a:r>
            <a:rPr lang="en-US" sz="1100" b="1">
              <a:solidFill>
                <a:schemeClr val="dk1"/>
              </a:solidFill>
              <a:effectLst/>
              <a:latin typeface="+mn-lt"/>
              <a:ea typeface="+mn-ea"/>
              <a:cs typeface="+mn-cs"/>
            </a:rPr>
            <a:t>Human Resource Security (ISO 7)</a:t>
          </a:r>
          <a:r>
            <a:rPr lang="en-US" sz="1100">
              <a:solidFill>
                <a:schemeClr val="dk1"/>
              </a:solidFill>
              <a:effectLst/>
              <a:latin typeface="+mn-lt"/>
              <a:ea typeface="+mn-ea"/>
              <a:cs typeface="+mn-cs"/>
            </a:rPr>
            <a:t>: Assess an institution's safeguards and processes for ensuring that all employees are qualified for and understand their roles and responsibilities of their job duties and that access is removed once employment is terminated. </a:t>
          </a:r>
        </a:p>
        <a:p>
          <a:pPr marL="171450" lvl="0" indent="-171450">
            <a:buFont typeface="Arial" pitchFamily="7" charset="0"/>
            <a:buChar char="•"/>
          </a:pPr>
          <a:r>
            <a:rPr lang="en-US" sz="1100" b="1">
              <a:solidFill>
                <a:schemeClr val="dk1"/>
              </a:solidFill>
              <a:effectLst/>
              <a:latin typeface="+mn-lt"/>
              <a:ea typeface="+mn-ea"/>
              <a:cs typeface="+mn-cs"/>
            </a:rPr>
            <a:t>Asset Management (ISO 8)</a:t>
          </a:r>
          <a:r>
            <a:rPr lang="en-US" sz="1100">
              <a:solidFill>
                <a:schemeClr val="dk1"/>
              </a:solidFill>
              <a:effectLst/>
              <a:latin typeface="+mn-lt"/>
              <a:ea typeface="+mn-ea"/>
              <a:cs typeface="+mn-cs"/>
            </a:rPr>
            <a:t>: Assess an institution's asset management program. Does it include ways to identify, track, classify, and assign ownership for the most important assets to ensure they are adequately protected?</a:t>
          </a:r>
        </a:p>
        <a:p>
          <a:pPr marL="171450" lvl="0" indent="-171450">
            <a:buFont typeface="Arial" pitchFamily="7" charset="0"/>
            <a:buChar char="•"/>
          </a:pPr>
          <a:r>
            <a:rPr lang="en-US" sz="1100" b="1">
              <a:solidFill>
                <a:schemeClr val="dk1"/>
              </a:solidFill>
              <a:effectLst/>
              <a:latin typeface="+mn-lt"/>
              <a:ea typeface="+mn-ea"/>
              <a:cs typeface="+mn-cs"/>
            </a:rPr>
            <a:t>Access Control (ISO 9)</a:t>
          </a:r>
          <a:r>
            <a:rPr lang="en-US" sz="1100">
              <a:solidFill>
                <a:schemeClr val="dk1"/>
              </a:solidFill>
              <a:effectLst/>
              <a:latin typeface="+mn-lt"/>
              <a:ea typeface="+mn-ea"/>
              <a:cs typeface="+mn-cs"/>
            </a:rPr>
            <a:t>: Assess an institution’s use of administrative, physical, or technical security features to manage how users and systems communicate and interact with other information resources.</a:t>
          </a:r>
        </a:p>
        <a:p>
          <a:pPr marL="171450" lvl="0" indent="-171450">
            <a:buFont typeface="Arial" pitchFamily="7" charset="0"/>
            <a:buChar char="•"/>
          </a:pPr>
          <a:r>
            <a:rPr lang="en-US" sz="1100" b="1">
              <a:solidFill>
                <a:schemeClr val="dk1"/>
              </a:solidFill>
              <a:effectLst/>
              <a:latin typeface="+mn-lt"/>
              <a:ea typeface="+mn-ea"/>
              <a:cs typeface="+mn-cs"/>
            </a:rPr>
            <a:t>Cryptography (ISO 10)</a:t>
          </a:r>
          <a:r>
            <a:rPr lang="en-US" sz="1100">
              <a:solidFill>
                <a:schemeClr val="dk1"/>
              </a:solidFill>
              <a:effectLst/>
              <a:latin typeface="+mn-lt"/>
              <a:ea typeface="+mn-ea"/>
              <a:cs typeface="+mn-cs"/>
            </a:rPr>
            <a:t>: Assess an institution's policies on the use of cryptography (encryption) and key management.</a:t>
          </a:r>
        </a:p>
        <a:p>
          <a:pPr marL="171450" lvl="0" indent="-171450">
            <a:buFont typeface="Arial" pitchFamily="7" charset="0"/>
            <a:buChar char="•"/>
          </a:pPr>
          <a:r>
            <a:rPr lang="en-US" sz="1100" b="1">
              <a:solidFill>
                <a:schemeClr val="dk1"/>
              </a:solidFill>
              <a:effectLst/>
              <a:latin typeface="+mn-lt"/>
              <a:ea typeface="+mn-ea"/>
              <a:cs typeface="+mn-cs"/>
            </a:rPr>
            <a:t>Physical and Environmental Security (ISO 11)</a:t>
          </a:r>
          <a:r>
            <a:rPr lang="en-US" sz="1100">
              <a:solidFill>
                <a:schemeClr val="dk1"/>
              </a:solidFill>
              <a:effectLst/>
              <a:latin typeface="+mn-lt"/>
              <a:ea typeface="+mn-ea"/>
              <a:cs typeface="+mn-cs"/>
            </a:rPr>
            <a:t>: Assess an institution's steps taken to protect systems, buildings, and related supporting infrastructure against threats associated with their physical environment.</a:t>
          </a:r>
        </a:p>
        <a:p>
          <a:pPr marL="171450" lvl="0" indent="-171450">
            <a:buFont typeface="Arial" pitchFamily="7" charset="0"/>
            <a:buChar char="•"/>
          </a:pPr>
          <a:r>
            <a:rPr lang="en-US" sz="1100" b="1">
              <a:solidFill>
                <a:schemeClr val="dk1"/>
              </a:solidFill>
              <a:effectLst/>
              <a:latin typeface="+mn-lt"/>
              <a:ea typeface="+mn-ea"/>
              <a:cs typeface="+mn-cs"/>
            </a:rPr>
            <a:t>Operations Security (ISO 12):</a:t>
          </a:r>
          <a:r>
            <a:rPr lang="en-US" sz="1100">
              <a:solidFill>
                <a:schemeClr val="dk1"/>
              </a:solidFill>
              <a:effectLst/>
              <a:latin typeface="+mn-lt"/>
              <a:ea typeface="+mn-ea"/>
              <a:cs typeface="+mn-cs"/>
            </a:rPr>
            <a:t> Assess an institution’s formalized policies, procedures, and controls, which assist in data and system protection.</a:t>
          </a:r>
        </a:p>
        <a:p>
          <a:pPr marL="171450" lvl="0" indent="-171450">
            <a:buFont typeface="Arial" pitchFamily="7" charset="0"/>
            <a:buChar char="•"/>
          </a:pPr>
          <a:r>
            <a:rPr lang="en-US" sz="1100" b="1">
              <a:solidFill>
                <a:schemeClr val="dk1"/>
              </a:solidFill>
              <a:effectLst/>
              <a:latin typeface="+mn-lt"/>
              <a:ea typeface="+mn-ea"/>
              <a:cs typeface="+mn-cs"/>
            </a:rPr>
            <a:t>Communications Security (ISO 13)</a:t>
          </a:r>
          <a:r>
            <a:rPr lang="en-US" sz="1100">
              <a:solidFill>
                <a:schemeClr val="dk1"/>
              </a:solidFill>
              <a:effectLst/>
              <a:latin typeface="+mn-lt"/>
              <a:ea typeface="+mn-ea"/>
              <a:cs typeface="+mn-cs"/>
            </a:rPr>
            <a:t>: Assess an institution’s formalized policies, procedures, and controls, which assist in network management and operation.</a:t>
          </a:r>
        </a:p>
        <a:p>
          <a:pPr marL="171450" lvl="0" indent="-171450">
            <a:buFont typeface="Arial" pitchFamily="7" charset="0"/>
            <a:buChar char="•"/>
          </a:pPr>
          <a:r>
            <a:rPr lang="en-US" sz="1100" b="1">
              <a:solidFill>
                <a:schemeClr val="dk1"/>
              </a:solidFill>
              <a:effectLst/>
              <a:latin typeface="+mn-lt"/>
              <a:ea typeface="+mn-ea"/>
              <a:cs typeface="+mn-cs"/>
            </a:rPr>
            <a:t>System Acquisition, Development, and Maintenance (ISO 14)</a:t>
          </a:r>
          <a:r>
            <a:rPr lang="en-US" sz="1100">
              <a:solidFill>
                <a:schemeClr val="dk1"/>
              </a:solidFill>
              <a:effectLst/>
              <a:latin typeface="+mn-lt"/>
              <a:ea typeface="+mn-ea"/>
              <a:cs typeface="+mn-cs"/>
            </a:rPr>
            <a:t>: Assess whether an institution has security requirements established as an integral part of the development or implementation of an information system.</a:t>
          </a:r>
        </a:p>
        <a:p>
          <a:pPr marL="171450" lvl="0" indent="-171450">
            <a:buFont typeface="Arial" pitchFamily="7" charset="0"/>
            <a:buChar char="•"/>
          </a:pPr>
          <a:r>
            <a:rPr lang="en-US" sz="1100" b="1">
              <a:solidFill>
                <a:schemeClr val="dk1"/>
              </a:solidFill>
              <a:effectLst/>
              <a:latin typeface="+mn-lt"/>
              <a:ea typeface="+mn-ea"/>
              <a:cs typeface="+mn-cs"/>
            </a:rPr>
            <a:t>Supplier Relationships (ISO 15)</a:t>
          </a:r>
          <a:r>
            <a:rPr lang="en-US" sz="1100">
              <a:solidFill>
                <a:schemeClr val="dk1"/>
              </a:solidFill>
              <a:effectLst/>
              <a:latin typeface="+mn-lt"/>
              <a:ea typeface="+mn-ea"/>
              <a:cs typeface="+mn-cs"/>
            </a:rPr>
            <a:t>: Assess how an institution interacts with third parties to adequately secure the information and technology resources that third parties access, process, and manage. </a:t>
          </a:r>
        </a:p>
        <a:p>
          <a:pPr marL="171450" lvl="0" indent="-171450">
            <a:buFont typeface="Arial" pitchFamily="7" charset="0"/>
            <a:buChar char="•"/>
          </a:pPr>
          <a:r>
            <a:rPr lang="en-US" sz="1100" b="1">
              <a:solidFill>
                <a:schemeClr val="dk1"/>
              </a:solidFill>
              <a:effectLst/>
              <a:latin typeface="+mn-lt"/>
              <a:ea typeface="+mn-ea"/>
              <a:cs typeface="+mn-cs"/>
            </a:rPr>
            <a:t>Information Security Incident Management (ISO 16)</a:t>
          </a:r>
          <a:r>
            <a:rPr lang="en-US" sz="1100">
              <a:solidFill>
                <a:schemeClr val="dk1"/>
              </a:solidFill>
              <a:effectLst/>
              <a:latin typeface="+mn-lt"/>
              <a:ea typeface="+mn-ea"/>
              <a:cs typeface="+mn-cs"/>
            </a:rPr>
            <a:t>: Assess an institution’s information security incident management program. An effective program will ensure personnel are trained and equipped to detect, report, and respond to adverse events.</a:t>
          </a:r>
        </a:p>
        <a:p>
          <a:pPr marL="171450" lvl="0" indent="-171450">
            <a:buFont typeface="Arial" pitchFamily="7" charset="0"/>
            <a:buChar char="•"/>
          </a:pPr>
          <a:r>
            <a:rPr lang="en-US" sz="1100" b="1">
              <a:solidFill>
                <a:schemeClr val="dk1"/>
              </a:solidFill>
              <a:effectLst/>
              <a:latin typeface="+mn-lt"/>
              <a:ea typeface="+mn-ea"/>
              <a:cs typeface="+mn-cs"/>
            </a:rPr>
            <a:t>Information Security Aspects of Business Continuity Management (ISO 17)</a:t>
          </a:r>
          <a:r>
            <a:rPr lang="en-US" sz="1100">
              <a:solidFill>
                <a:schemeClr val="dk1"/>
              </a:solidFill>
              <a:effectLst/>
              <a:latin typeface="+mn-lt"/>
              <a:ea typeface="+mn-ea"/>
              <a:cs typeface="+mn-cs"/>
            </a:rPr>
            <a:t>: Assess an institution’s business continuity management. A mature institution has a managed, organized method for the development of procedures to ensure the continuity of operations under extraordinary circumstances including the maintenance of measures to ensure the privacy and security of its information resources.</a:t>
          </a:r>
        </a:p>
        <a:p>
          <a:pPr marL="171450" lvl="0" indent="-171450">
            <a:buFont typeface="Arial" pitchFamily="7" charset="0"/>
            <a:buChar char="•"/>
          </a:pPr>
          <a:r>
            <a:rPr lang="en-US" sz="1100" b="1">
              <a:solidFill>
                <a:schemeClr val="dk1"/>
              </a:solidFill>
              <a:effectLst/>
              <a:latin typeface="+mn-lt"/>
              <a:ea typeface="+mn-ea"/>
              <a:cs typeface="+mn-cs"/>
            </a:rPr>
            <a:t>Compliance (ISO 18)</a:t>
          </a:r>
          <a:r>
            <a:rPr lang="en-US" sz="1100">
              <a:solidFill>
                <a:schemeClr val="dk1"/>
              </a:solidFill>
              <a:effectLst/>
              <a:latin typeface="+mn-lt"/>
              <a:ea typeface="+mn-ea"/>
              <a:cs typeface="+mn-cs"/>
            </a:rPr>
            <a:t>: Assess an institution’s processes for staying current with legal and contractual requirements to protect sensitive information assets.</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4048578</xdr:colOff>
      <xdr:row>3</xdr:row>
      <xdr:rowOff>110490</xdr:rowOff>
    </xdr:from>
    <xdr:to>
      <xdr:col>7</xdr:col>
      <xdr:colOff>396239</xdr:colOff>
      <xdr:row>10</xdr:row>
      <xdr:rowOff>30480</xdr:rowOff>
    </xdr:to>
    <xdr:pic>
      <xdr:nvPicPr>
        <xdr:cNvPr id="2" name="Picture 1" descr="Maib, un brand reînnoit: modern, agil, inovator | maib">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701338" y="765810"/>
          <a:ext cx="4226741" cy="1535430"/>
        </a:xfrm>
        <a:prstGeom prst="rect">
          <a:avLst/>
        </a:prstGeom>
        <a:noFill/>
        <a:ln>
          <a:noFill/>
        </a:ln>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C3:H27"/>
  <sheetViews>
    <sheetView topLeftCell="A2" zoomScale="90" zoomScaleNormal="90" workbookViewId="0">
      <selection activeCell="H14" sqref="H14"/>
    </sheetView>
  </sheetViews>
  <sheetFormatPr defaultRowHeight="15"/>
  <cols>
    <col min="3" max="3" width="88.42578125" customWidth="1"/>
    <col min="5" max="5" width="20" customWidth="1"/>
    <col min="6" max="6" width="21.5703125" customWidth="1"/>
    <col min="7" max="7" width="18.7109375" style="192" customWidth="1"/>
    <col min="8" max="8" width="28" customWidth="1"/>
  </cols>
  <sheetData>
    <row r="3" spans="3:6" ht="23.25">
      <c r="C3" s="162" t="s">
        <v>609</v>
      </c>
    </row>
    <row r="5" spans="3:6" ht="15.75">
      <c r="E5" s="168" t="s">
        <v>940</v>
      </c>
      <c r="F5" s="174"/>
    </row>
    <row r="6" spans="3:6" ht="15.75">
      <c r="C6" s="161"/>
      <c r="E6" s="168" t="s">
        <v>941</v>
      </c>
      <c r="F6" s="205">
        <v>1</v>
      </c>
    </row>
    <row r="7" spans="3:6">
      <c r="E7" s="206" t="s">
        <v>943</v>
      </c>
      <c r="F7" s="206" t="s">
        <v>946</v>
      </c>
    </row>
    <row r="8" spans="3:6">
      <c r="E8" s="206" t="s">
        <v>944</v>
      </c>
      <c r="F8" s="206" t="s">
        <v>613</v>
      </c>
    </row>
    <row r="9" spans="3:6">
      <c r="E9" s="174"/>
      <c r="F9" s="206" t="s">
        <v>610</v>
      </c>
    </row>
    <row r="10" spans="3:6">
      <c r="E10" s="174"/>
      <c r="F10" s="206" t="s">
        <v>611</v>
      </c>
    </row>
    <row r="11" spans="3:6">
      <c r="E11" s="174"/>
      <c r="F11" s="206" t="s">
        <v>612</v>
      </c>
    </row>
    <row r="12" spans="3:6" ht="15.75">
      <c r="E12" s="207" t="s">
        <v>942</v>
      </c>
      <c r="F12" s="206" t="s">
        <v>947</v>
      </c>
    </row>
    <row r="13" spans="3:6">
      <c r="E13" s="206" t="s">
        <v>945</v>
      </c>
      <c r="F13" s="174"/>
    </row>
    <row r="18" spans="3:8">
      <c r="C18" s="163"/>
      <c r="E18" s="206" t="s">
        <v>948</v>
      </c>
      <c r="F18" s="206" t="s">
        <v>949</v>
      </c>
      <c r="G18" s="208" t="s">
        <v>950</v>
      </c>
      <c r="H18" s="206" t="s">
        <v>951</v>
      </c>
    </row>
    <row r="19" spans="3:8" ht="60">
      <c r="C19" s="163"/>
      <c r="E19" s="210" t="s">
        <v>946</v>
      </c>
      <c r="F19" s="211">
        <v>1</v>
      </c>
      <c r="G19" s="208" t="s">
        <v>952</v>
      </c>
      <c r="H19" s="210" t="s">
        <v>953</v>
      </c>
    </row>
    <row r="20" spans="3:8">
      <c r="C20" s="163"/>
      <c r="E20" s="174"/>
      <c r="F20" s="174"/>
      <c r="G20" s="209"/>
      <c r="H20" s="174"/>
    </row>
    <row r="21" spans="3:8">
      <c r="C21" s="163"/>
      <c r="E21" s="174"/>
      <c r="F21" s="174"/>
      <c r="G21" s="209"/>
      <c r="H21" s="174"/>
    </row>
    <row r="22" spans="3:8">
      <c r="C22" s="163"/>
      <c r="E22" s="174"/>
      <c r="F22" s="174"/>
      <c r="G22" s="209"/>
      <c r="H22" s="174"/>
    </row>
    <row r="23" spans="3:8">
      <c r="E23" s="174"/>
      <c r="F23" s="174"/>
      <c r="G23" s="209"/>
      <c r="H23" s="174"/>
    </row>
    <row r="24" spans="3:8">
      <c r="C24" s="163"/>
      <c r="E24" s="174"/>
      <c r="F24" s="174"/>
      <c r="G24" s="209"/>
      <c r="H24" s="174"/>
    </row>
    <row r="25" spans="3:8">
      <c r="C25" s="163"/>
      <c r="E25" s="174"/>
      <c r="F25" s="174"/>
      <c r="G25" s="209"/>
      <c r="H25" s="174"/>
    </row>
    <row r="26" spans="3:8">
      <c r="E26" s="174"/>
      <c r="F26" s="174"/>
      <c r="G26" s="209"/>
      <c r="H26" s="174"/>
    </row>
    <row r="27" spans="3:8">
      <c r="E27" s="174"/>
      <c r="F27" s="174"/>
      <c r="G27" s="209"/>
      <c r="H27" s="174"/>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showGridLines="0" workbookViewId="0">
      <selection activeCell="H17" sqref="H17"/>
    </sheetView>
  </sheetViews>
  <sheetFormatPr defaultColWidth="8.7109375" defaultRowHeight="15"/>
  <sheetData/>
  <pageMargins left="0.69930555555555596" right="0.69930555555555596" top="0.75" bottom="0.75" header="0.3" footer="0.3"/>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8"/>
  <sheetViews>
    <sheetView workbookViewId="0">
      <selection activeCell="H17" sqref="H17"/>
    </sheetView>
  </sheetViews>
  <sheetFormatPr defaultColWidth="8.7109375" defaultRowHeight="12.75"/>
  <cols>
    <col min="1" max="1" width="4.7109375" style="2" customWidth="1"/>
    <col min="2" max="2" width="19.28515625" style="131" customWidth="1"/>
    <col min="3" max="3" width="68.42578125" style="2" customWidth="1"/>
    <col min="4" max="4" width="87" style="2" hidden="1" customWidth="1"/>
    <col min="5" max="8" width="21.7109375" style="2" customWidth="1"/>
    <col min="9" max="16384" width="8.7109375" style="2"/>
  </cols>
  <sheetData>
    <row r="1" spans="1:8" ht="46.15" customHeight="1">
      <c r="A1" s="132"/>
      <c r="B1" s="133" t="s">
        <v>0</v>
      </c>
      <c r="C1" s="133" t="s">
        <v>1</v>
      </c>
      <c r="D1" s="134" t="s">
        <v>2</v>
      </c>
      <c r="E1" s="140" t="s">
        <v>3</v>
      </c>
      <c r="F1" s="140" t="s">
        <v>576</v>
      </c>
      <c r="G1" s="140" t="s">
        <v>4</v>
      </c>
      <c r="H1" s="140" t="s">
        <v>5</v>
      </c>
    </row>
    <row r="2" spans="1:8" ht="29.25" customHeight="1">
      <c r="A2" s="135">
        <v>0</v>
      </c>
      <c r="B2" s="136" t="s">
        <v>6</v>
      </c>
      <c r="C2" s="136" t="s">
        <v>7</v>
      </c>
      <c r="D2" s="137"/>
      <c r="E2" s="141" t="s">
        <v>6</v>
      </c>
      <c r="F2" s="141" t="s">
        <v>8</v>
      </c>
      <c r="G2" s="141" t="s">
        <v>8</v>
      </c>
      <c r="H2" s="141" t="s">
        <v>8</v>
      </c>
    </row>
    <row r="3" spans="1:8" ht="67.150000000000006" customHeight="1">
      <c r="A3" s="135">
        <v>1</v>
      </c>
      <c r="B3" s="136" t="s">
        <v>9</v>
      </c>
      <c r="C3" s="136" t="s">
        <v>10</v>
      </c>
      <c r="D3" s="137" t="s">
        <v>11</v>
      </c>
      <c r="E3" s="141" t="s">
        <v>12</v>
      </c>
      <c r="F3" s="141" t="s">
        <v>13</v>
      </c>
      <c r="G3" s="141" t="s">
        <v>14</v>
      </c>
      <c r="H3" s="141" t="s">
        <v>15</v>
      </c>
    </row>
    <row r="4" spans="1:8" ht="33" customHeight="1">
      <c r="A4" s="135">
        <v>2</v>
      </c>
      <c r="B4" s="136" t="s">
        <v>16</v>
      </c>
      <c r="C4" s="136" t="s">
        <v>17</v>
      </c>
      <c r="D4" s="137" t="s">
        <v>18</v>
      </c>
      <c r="E4" s="141" t="s">
        <v>19</v>
      </c>
      <c r="F4" s="141" t="s">
        <v>20</v>
      </c>
      <c r="G4" s="141" t="s">
        <v>21</v>
      </c>
      <c r="H4" s="141" t="s">
        <v>22</v>
      </c>
    </row>
    <row r="5" spans="1:8" ht="50.65" customHeight="1">
      <c r="A5" s="135">
        <v>3</v>
      </c>
      <c r="B5" s="136" t="s">
        <v>23</v>
      </c>
      <c r="C5" s="136" t="s">
        <v>24</v>
      </c>
      <c r="D5" s="137" t="s">
        <v>25</v>
      </c>
      <c r="E5" s="141" t="s">
        <v>26</v>
      </c>
      <c r="F5" s="141" t="s">
        <v>26</v>
      </c>
      <c r="G5" s="141" t="s">
        <v>27</v>
      </c>
      <c r="H5" s="141" t="s">
        <v>28</v>
      </c>
    </row>
    <row r="6" spans="1:8" ht="45.4" customHeight="1">
      <c r="A6" s="135">
        <v>4</v>
      </c>
      <c r="B6" s="138" t="s">
        <v>29</v>
      </c>
      <c r="C6" s="138" t="s">
        <v>30</v>
      </c>
      <c r="D6" s="137" t="s">
        <v>31</v>
      </c>
      <c r="E6" s="141" t="s">
        <v>20</v>
      </c>
      <c r="F6" s="141" t="s">
        <v>32</v>
      </c>
      <c r="G6" s="141" t="s">
        <v>33</v>
      </c>
      <c r="H6" s="141" t="s">
        <v>34</v>
      </c>
    </row>
    <row r="7" spans="1:8" ht="64.150000000000006" customHeight="1">
      <c r="A7" s="214">
        <v>5</v>
      </c>
      <c r="B7" s="215" t="s">
        <v>35</v>
      </c>
      <c r="C7" s="214" t="s">
        <v>36</v>
      </c>
      <c r="D7" s="137" t="s">
        <v>37</v>
      </c>
      <c r="E7" s="212" t="s">
        <v>38</v>
      </c>
      <c r="F7" s="212" t="s">
        <v>38</v>
      </c>
      <c r="G7" s="212" t="s">
        <v>39</v>
      </c>
      <c r="H7" s="213" t="s">
        <v>40</v>
      </c>
    </row>
    <row r="8" spans="1:8" ht="15.75" customHeight="1">
      <c r="A8" s="214"/>
      <c r="B8" s="216"/>
      <c r="C8" s="214"/>
      <c r="D8" s="139"/>
      <c r="E8" s="212"/>
      <c r="F8" s="212"/>
      <c r="G8" s="212"/>
      <c r="H8" s="213"/>
    </row>
  </sheetData>
  <mergeCells count="7">
    <mergeCell ref="G7:G8"/>
    <mergeCell ref="H7:H8"/>
    <mergeCell ref="A7:A8"/>
    <mergeCell ref="B7:B8"/>
    <mergeCell ref="C7:C8"/>
    <mergeCell ref="E7:E8"/>
    <mergeCell ref="F7:F8"/>
  </mergeCells>
  <pageMargins left="0.69930555555555596" right="0.69930555555555596" top="0.75" bottom="0.75" header="0.3" footer="0.3"/>
  <pageSetup scale="55"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A2227"/>
  <sheetViews>
    <sheetView topLeftCell="A133" zoomScale="80" zoomScaleNormal="80" workbookViewId="0">
      <selection activeCell="H17" sqref="H17"/>
    </sheetView>
  </sheetViews>
  <sheetFormatPr defaultRowHeight="15"/>
  <cols>
    <col min="1" max="1" width="41.140625" customWidth="1"/>
    <col min="2" max="2" width="17.5703125" customWidth="1"/>
    <col min="3" max="3" width="38.7109375" customWidth="1"/>
    <col min="4" max="4" width="29.7109375" customWidth="1"/>
    <col min="5" max="5" width="19.85546875" customWidth="1"/>
    <col min="6" max="6" width="20.28515625" customWidth="1"/>
    <col min="7" max="7" width="17.140625" customWidth="1"/>
  </cols>
  <sheetData>
    <row r="1" spans="1:53" ht="60">
      <c r="B1" s="9"/>
      <c r="C1" s="15" t="s">
        <v>41</v>
      </c>
      <c r="D1" s="16"/>
      <c r="E1" s="66"/>
      <c r="F1" s="16"/>
      <c r="G1" s="67"/>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row>
    <row r="2" spans="1:53" ht="30">
      <c r="C2" s="17" t="s">
        <v>42</v>
      </c>
      <c r="D2" s="18"/>
      <c r="E2" s="69"/>
      <c r="F2" s="70"/>
      <c r="G2" s="67"/>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row>
    <row r="3" spans="1:53" ht="30">
      <c r="C3" s="19" t="s">
        <v>43</v>
      </c>
      <c r="D3" s="20"/>
      <c r="E3" s="69"/>
      <c r="F3" s="16"/>
      <c r="G3" s="67"/>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row>
    <row r="4" spans="1:53" ht="30">
      <c r="C4" s="21" t="s">
        <v>44</v>
      </c>
      <c r="D4" s="20"/>
      <c r="E4" s="69"/>
      <c r="F4" s="16"/>
      <c r="G4" s="67"/>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row>
    <row r="5" spans="1:53" ht="15.75">
      <c r="C5" s="21" t="s">
        <v>45</v>
      </c>
      <c r="D5" s="20"/>
      <c r="E5" s="69"/>
      <c r="F5" s="16"/>
      <c r="G5" s="67"/>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row>
    <row r="6" spans="1:53" ht="30">
      <c r="C6" s="22" t="s">
        <v>46</v>
      </c>
      <c r="D6" s="20"/>
      <c r="E6" s="69"/>
      <c r="F6" s="16"/>
      <c r="G6" s="67"/>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row>
    <row r="7" spans="1:53" ht="15.75">
      <c r="C7" s="23" t="s">
        <v>47</v>
      </c>
      <c r="D7" s="20"/>
      <c r="E7" s="69"/>
      <c r="F7" s="16"/>
      <c r="G7" s="67"/>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row>
    <row r="8" spans="1:53" ht="45">
      <c r="B8" s="9"/>
      <c r="C8" s="24" t="s">
        <v>48</v>
      </c>
      <c r="D8" s="20" t="s">
        <v>49</v>
      </c>
      <c r="E8" s="33"/>
      <c r="F8" s="16"/>
      <c r="G8" s="67"/>
      <c r="H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c r="AK8" s="68"/>
      <c r="AL8" s="68"/>
      <c r="AM8" s="68"/>
      <c r="AN8" s="68"/>
      <c r="AO8" s="68"/>
      <c r="AP8" s="68"/>
      <c r="AQ8" s="68"/>
      <c r="AR8" s="68"/>
      <c r="AS8" s="68"/>
      <c r="AT8" s="68"/>
      <c r="AU8" s="68"/>
      <c r="AV8" s="68"/>
      <c r="AW8" s="68"/>
      <c r="AX8" s="68"/>
      <c r="AY8" s="68"/>
      <c r="AZ8" s="68"/>
      <c r="BA8" s="68"/>
    </row>
    <row r="9" spans="1:53" ht="90">
      <c r="B9" s="9"/>
      <c r="C9" s="24" t="s">
        <v>50</v>
      </c>
      <c r="D9" s="25"/>
      <c r="E9" s="33"/>
      <c r="F9" s="16"/>
      <c r="G9" s="67"/>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row>
    <row r="10" spans="1:53" ht="78.75">
      <c r="B10" s="9"/>
      <c r="C10" s="26" t="s">
        <v>51</v>
      </c>
      <c r="D10" s="27"/>
      <c r="E10" s="33"/>
      <c r="F10" s="16"/>
      <c r="G10" s="67"/>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68"/>
      <c r="AY10" s="68"/>
      <c r="AZ10" s="68"/>
      <c r="BA10" s="68"/>
    </row>
    <row r="11" spans="1:53" ht="31.5">
      <c r="B11" s="9"/>
      <c r="C11" s="28" t="s">
        <v>52</v>
      </c>
      <c r="D11" s="29"/>
      <c r="E11" s="33"/>
      <c r="F11" s="16"/>
      <c r="G11" s="67"/>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68"/>
      <c r="AY11" s="68"/>
      <c r="AZ11" s="68"/>
      <c r="BA11" s="68"/>
    </row>
    <row r="12" spans="1:53" ht="31.5">
      <c r="B12" s="9"/>
      <c r="C12" s="28" t="s">
        <v>53</v>
      </c>
      <c r="D12" s="30"/>
      <c r="E12" s="33"/>
      <c r="F12" s="16"/>
      <c r="G12" s="67"/>
      <c r="H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row>
    <row r="13" spans="1:53" ht="21">
      <c r="B13" s="9"/>
      <c r="C13" s="31" t="s">
        <v>54</v>
      </c>
      <c r="D13" s="29"/>
      <c r="E13" s="33"/>
      <c r="F13" s="72"/>
      <c r="G13" s="67"/>
      <c r="H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c r="AK13" s="68"/>
      <c r="AL13" s="68"/>
      <c r="AM13" s="68"/>
      <c r="AN13" s="68"/>
      <c r="AO13" s="68"/>
      <c r="AP13" s="68"/>
      <c r="AQ13" s="68"/>
      <c r="AR13" s="68"/>
      <c r="AS13" s="68"/>
      <c r="AT13" s="68"/>
      <c r="AU13" s="68"/>
      <c r="AV13" s="68"/>
      <c r="AW13" s="68"/>
      <c r="AX13" s="68"/>
      <c r="AY13" s="68"/>
      <c r="AZ13" s="68"/>
      <c r="BA13" s="68"/>
    </row>
    <row r="14" spans="1:53" ht="21">
      <c r="B14" s="9"/>
      <c r="C14" s="32"/>
      <c r="D14" s="33"/>
      <c r="E14" s="33"/>
      <c r="F14" s="72"/>
      <c r="G14" s="67"/>
      <c r="H14" s="68"/>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c r="AK14" s="68"/>
      <c r="AL14" s="68"/>
      <c r="AM14" s="68"/>
      <c r="AN14" s="68"/>
      <c r="AO14" s="68"/>
      <c r="AP14" s="68"/>
      <c r="AQ14" s="68"/>
      <c r="AR14" s="68"/>
      <c r="AS14" s="68"/>
      <c r="AT14" s="68"/>
      <c r="AU14" s="68"/>
      <c r="AV14" s="68"/>
      <c r="AW14" s="68"/>
      <c r="AX14" s="68"/>
      <c r="AY14" s="68"/>
      <c r="AZ14" s="68"/>
      <c r="BA14" s="68"/>
    </row>
    <row r="15" spans="1:53" ht="141.75">
      <c r="A15" s="34" t="s">
        <v>55</v>
      </c>
      <c r="B15" s="35"/>
      <c r="C15" s="36" t="s">
        <v>56</v>
      </c>
      <c r="D15" s="37" t="s">
        <v>57</v>
      </c>
      <c r="E15" s="73" t="s">
        <v>58</v>
      </c>
      <c r="F15" s="74" t="s">
        <v>59</v>
      </c>
      <c r="G15" s="75" t="s">
        <v>60</v>
      </c>
      <c r="H15" s="76"/>
      <c r="I15" s="76"/>
      <c r="J15" s="76"/>
      <c r="K15" s="76"/>
      <c r="L15" s="76"/>
      <c r="M15" s="76"/>
      <c r="N15" s="76"/>
      <c r="O15" s="76"/>
      <c r="P15" s="76"/>
      <c r="Q15" s="76"/>
      <c r="R15" s="76"/>
      <c r="S15" s="76"/>
      <c r="T15" s="76"/>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c r="AY15" s="76"/>
      <c r="AZ15" s="76"/>
      <c r="BA15" s="76"/>
    </row>
    <row r="16" spans="1:53" ht="31.5">
      <c r="A16" s="38"/>
      <c r="B16" s="39"/>
      <c r="C16" s="40" t="s">
        <v>61</v>
      </c>
      <c r="D16" s="41" t="s">
        <v>62</v>
      </c>
      <c r="E16" s="77">
        <f>IFERROR(AVERAGE(E17:E19),"")</f>
        <v>0</v>
      </c>
      <c r="F16" s="78"/>
      <c r="G16" s="79"/>
      <c r="H16" s="76"/>
      <c r="I16" s="76"/>
      <c r="J16" s="76"/>
      <c r="K16" s="76"/>
      <c r="L16" s="76"/>
      <c r="M16" s="76"/>
      <c r="N16" s="76"/>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row>
    <row r="17" spans="1:53" ht="63">
      <c r="A17" s="42"/>
      <c r="B17" s="43">
        <v>1</v>
      </c>
      <c r="C17" s="43" t="s">
        <v>63</v>
      </c>
      <c r="D17" s="44"/>
      <c r="E17" s="80">
        <v>0</v>
      </c>
      <c r="F17" s="81"/>
      <c r="G17" s="82" t="s">
        <v>64</v>
      </c>
      <c r="H17" s="76"/>
      <c r="I17" s="76"/>
      <c r="J17" s="76"/>
      <c r="K17" s="76"/>
      <c r="L17" s="76"/>
      <c r="M17" s="76"/>
      <c r="N17" s="76"/>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c r="AY17" s="76"/>
      <c r="AZ17" s="76"/>
      <c r="BA17" s="76"/>
    </row>
    <row r="18" spans="1:53" ht="110.25">
      <c r="A18" s="45" t="s">
        <v>65</v>
      </c>
      <c r="B18" s="43">
        <v>2</v>
      </c>
      <c r="C18" s="43" t="s">
        <v>66</v>
      </c>
      <c r="D18" s="44"/>
      <c r="E18" s="80">
        <v>0</v>
      </c>
      <c r="F18" s="81"/>
      <c r="G18" s="83"/>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row>
    <row r="19" spans="1:53" ht="63">
      <c r="A19" s="46" t="s">
        <v>67</v>
      </c>
      <c r="B19" s="43">
        <v>3</v>
      </c>
      <c r="C19" s="47" t="s">
        <v>68</v>
      </c>
      <c r="D19" s="44"/>
      <c r="E19" s="80">
        <v>0</v>
      </c>
      <c r="F19" s="81"/>
      <c r="G19" s="83"/>
      <c r="H19" s="76"/>
      <c r="I19" s="76"/>
      <c r="J19" s="76"/>
      <c r="K19" s="76"/>
      <c r="L19" s="76"/>
      <c r="M19" s="76"/>
      <c r="N19" s="76"/>
      <c r="O19" s="76"/>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row>
    <row r="20" spans="1:53" ht="15.75">
      <c r="A20" s="38"/>
      <c r="B20" s="39"/>
      <c r="C20" s="48" t="s">
        <v>69</v>
      </c>
      <c r="D20" s="49" t="s">
        <v>70</v>
      </c>
      <c r="E20" s="77">
        <f>IFERROR(AVERAGE(E21:E23),"")</f>
        <v>0</v>
      </c>
      <c r="F20" s="78"/>
      <c r="G20" s="79"/>
      <c r="H20" s="76"/>
      <c r="I20" s="76"/>
      <c r="J20" s="76"/>
      <c r="K20" s="76"/>
      <c r="L20" s="76"/>
      <c r="M20" s="76"/>
      <c r="N20" s="76"/>
      <c r="O20" s="76"/>
      <c r="P20" s="76"/>
      <c r="Q20" s="76"/>
      <c r="R20" s="76"/>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row>
    <row r="21" spans="1:53" ht="47.25">
      <c r="A21" s="50"/>
      <c r="B21" s="43">
        <v>4</v>
      </c>
      <c r="C21" s="43" t="s">
        <v>71</v>
      </c>
      <c r="D21" s="44"/>
      <c r="E21" s="80">
        <v>0</v>
      </c>
      <c r="F21" s="81"/>
      <c r="G21" s="56"/>
      <c r="H21" s="76"/>
      <c r="I21" s="88"/>
      <c r="J21" s="89"/>
      <c r="K21" s="89"/>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row>
    <row r="22" spans="1:53" ht="47.25">
      <c r="A22" s="46" t="s">
        <v>72</v>
      </c>
      <c r="B22" s="43">
        <v>5</v>
      </c>
      <c r="C22" s="51" t="s">
        <v>73</v>
      </c>
      <c r="D22" s="44"/>
      <c r="E22" s="80">
        <v>0</v>
      </c>
      <c r="F22" s="81"/>
      <c r="G22" s="56"/>
      <c r="H22" s="76"/>
      <c r="I22" s="88"/>
      <c r="J22" s="89"/>
      <c r="K22" s="89"/>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row>
    <row r="23" spans="1:53" ht="63">
      <c r="A23" s="46" t="s">
        <v>74</v>
      </c>
      <c r="B23" s="43">
        <v>6</v>
      </c>
      <c r="C23" s="51" t="s">
        <v>75</v>
      </c>
      <c r="D23" s="44"/>
      <c r="E23" s="80">
        <v>0</v>
      </c>
      <c r="F23" s="81"/>
      <c r="G23" s="47"/>
      <c r="H23" s="76"/>
      <c r="I23" s="88"/>
      <c r="J23" s="89"/>
      <c r="K23" s="89"/>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row>
    <row r="24" spans="1:53" ht="31.5">
      <c r="A24" s="50"/>
      <c r="B24" s="52"/>
      <c r="C24" s="53" t="s">
        <v>76</v>
      </c>
      <c r="D24" s="49" t="s">
        <v>77</v>
      </c>
      <c r="E24" s="77">
        <f>IFERROR(AVERAGE(E25:E31),"")</f>
        <v>0</v>
      </c>
      <c r="F24" s="78"/>
      <c r="G24" s="79"/>
      <c r="H24" s="76"/>
      <c r="I24" s="88"/>
      <c r="J24" s="89"/>
      <c r="K24" s="89"/>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row>
    <row r="25" spans="1:53" ht="63">
      <c r="A25" s="54" t="s">
        <v>78</v>
      </c>
      <c r="B25" s="43">
        <v>7</v>
      </c>
      <c r="C25" s="55" t="s">
        <v>79</v>
      </c>
      <c r="D25" s="44"/>
      <c r="E25" s="80">
        <v>0</v>
      </c>
      <c r="F25" s="81"/>
      <c r="G25" s="47"/>
      <c r="H25" s="76"/>
      <c r="I25" s="88"/>
      <c r="J25" s="89"/>
      <c r="K25" s="89"/>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row>
    <row r="26" spans="1:53" ht="110.25">
      <c r="A26" s="142" t="s">
        <v>80</v>
      </c>
      <c r="B26" s="43">
        <v>8</v>
      </c>
      <c r="C26" s="56" t="s">
        <v>81</v>
      </c>
      <c r="D26" s="44"/>
      <c r="E26" s="80">
        <v>0</v>
      </c>
      <c r="F26" s="81"/>
      <c r="G26" s="47"/>
      <c r="H26" s="76"/>
      <c r="I26" s="88"/>
      <c r="J26" s="88"/>
      <c r="K26" s="89"/>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row>
    <row r="27" spans="1:53" ht="63">
      <c r="A27" s="54" t="s">
        <v>82</v>
      </c>
      <c r="B27" s="43">
        <v>9</v>
      </c>
      <c r="C27" s="55" t="s">
        <v>83</v>
      </c>
      <c r="D27" s="44"/>
      <c r="E27" s="80">
        <v>0</v>
      </c>
      <c r="F27" s="81"/>
      <c r="G27" s="47"/>
      <c r="H27" s="76"/>
      <c r="I27" s="88"/>
      <c r="J27" s="88"/>
      <c r="K27" s="89"/>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row>
    <row r="28" spans="1:53" ht="94.5">
      <c r="A28" s="54" t="s">
        <v>84</v>
      </c>
      <c r="B28" s="43">
        <v>10</v>
      </c>
      <c r="C28" s="55" t="s">
        <v>85</v>
      </c>
      <c r="D28" s="44"/>
      <c r="E28" s="80">
        <v>0</v>
      </c>
      <c r="F28" s="81"/>
      <c r="G28" s="47"/>
      <c r="H28" s="76"/>
      <c r="I28" s="88"/>
      <c r="J28" s="89"/>
      <c r="K28" s="90"/>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row>
    <row r="29" spans="1:53" ht="47.25">
      <c r="A29" s="46" t="s">
        <v>86</v>
      </c>
      <c r="B29" s="43">
        <v>11</v>
      </c>
      <c r="C29" s="57" t="s">
        <v>87</v>
      </c>
      <c r="D29" s="44"/>
      <c r="E29" s="80">
        <v>0</v>
      </c>
      <c r="F29" s="81"/>
      <c r="G29" s="47"/>
      <c r="H29" s="76"/>
      <c r="I29" s="88"/>
      <c r="J29" s="89"/>
      <c r="K29" s="90"/>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row>
    <row r="30" spans="1:53" ht="78.75">
      <c r="A30" s="46" t="s">
        <v>88</v>
      </c>
      <c r="B30" s="43">
        <v>12</v>
      </c>
      <c r="C30" s="57" t="s">
        <v>89</v>
      </c>
      <c r="D30" s="44"/>
      <c r="E30" s="80">
        <v>0</v>
      </c>
      <c r="F30" s="81"/>
      <c r="G30" s="83"/>
      <c r="H30" s="76"/>
      <c r="I30" s="88"/>
      <c r="J30" s="88"/>
      <c r="K30" s="90"/>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row>
    <row r="31" spans="1:53" ht="63">
      <c r="A31" s="54" t="s">
        <v>90</v>
      </c>
      <c r="B31" s="43">
        <v>13</v>
      </c>
      <c r="C31" s="56" t="s">
        <v>91</v>
      </c>
      <c r="D31" s="44"/>
      <c r="E31" s="80">
        <v>0</v>
      </c>
      <c r="F31" s="81"/>
      <c r="G31" s="47"/>
      <c r="H31" s="76"/>
      <c r="I31" s="88"/>
      <c r="J31" s="89"/>
      <c r="K31" s="89"/>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row>
    <row r="32" spans="1:53" ht="15.75">
      <c r="A32" s="50"/>
      <c r="B32" s="52"/>
      <c r="C32" s="53" t="s">
        <v>92</v>
      </c>
      <c r="D32" s="49" t="s">
        <v>93</v>
      </c>
      <c r="E32" s="77">
        <f>IFERROR(AVERAGE(E33:E37),"")</f>
        <v>0</v>
      </c>
      <c r="F32" s="78"/>
      <c r="G32" s="79"/>
      <c r="H32" s="76"/>
      <c r="I32" s="88"/>
      <c r="J32" s="89"/>
      <c r="K32" s="89"/>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row>
    <row r="33" spans="1:53" ht="47.25">
      <c r="A33" s="54" t="s">
        <v>94</v>
      </c>
      <c r="B33" s="43">
        <v>14</v>
      </c>
      <c r="C33" s="58" t="s">
        <v>95</v>
      </c>
      <c r="D33" s="44"/>
      <c r="E33" s="80">
        <v>0</v>
      </c>
      <c r="F33" s="81"/>
      <c r="G33" s="47"/>
      <c r="H33" s="76"/>
      <c r="I33" s="88"/>
      <c r="J33" s="89"/>
      <c r="K33" s="89"/>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row>
    <row r="34" spans="1:53" ht="47.25">
      <c r="A34" s="54" t="s">
        <v>96</v>
      </c>
      <c r="B34" s="43">
        <v>15</v>
      </c>
      <c r="C34" s="59" t="s">
        <v>97</v>
      </c>
      <c r="D34" s="44"/>
      <c r="E34" s="80">
        <v>0</v>
      </c>
      <c r="F34" s="81"/>
      <c r="G34" s="47"/>
      <c r="H34" s="76"/>
      <c r="I34" s="88"/>
      <c r="J34" s="89"/>
      <c r="K34" s="89"/>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row>
    <row r="35" spans="1:53" ht="47.25">
      <c r="A35" s="54"/>
      <c r="B35" s="43">
        <v>16</v>
      </c>
      <c r="C35" s="59" t="s">
        <v>98</v>
      </c>
      <c r="D35" s="44"/>
      <c r="E35" s="80">
        <v>0</v>
      </c>
      <c r="F35" s="81"/>
      <c r="G35" s="47"/>
      <c r="H35" s="76"/>
      <c r="I35" s="88"/>
      <c r="J35" s="89"/>
      <c r="K35" s="89"/>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row>
    <row r="36" spans="1:53" ht="47.25">
      <c r="A36" s="54" t="s">
        <v>99</v>
      </c>
      <c r="B36" s="43">
        <v>17</v>
      </c>
      <c r="C36" s="51" t="s">
        <v>100</v>
      </c>
      <c r="D36" s="44"/>
      <c r="E36" s="80">
        <v>0</v>
      </c>
      <c r="F36" s="81"/>
      <c r="G36" s="47"/>
      <c r="H36" s="76"/>
      <c r="I36" s="88"/>
      <c r="J36" s="89"/>
      <c r="K36" s="89"/>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row>
    <row r="37" spans="1:53" ht="63">
      <c r="A37" s="54" t="s">
        <v>101</v>
      </c>
      <c r="B37" s="43">
        <v>18</v>
      </c>
      <c r="C37" s="60" t="s">
        <v>102</v>
      </c>
      <c r="D37" s="44"/>
      <c r="E37" s="80">
        <v>0</v>
      </c>
      <c r="F37" s="81"/>
      <c r="G37" s="47"/>
      <c r="H37" s="76"/>
      <c r="I37" s="88"/>
      <c r="J37" s="89"/>
      <c r="K37" s="89"/>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row>
    <row r="38" spans="1:53" ht="15.75">
      <c r="A38" s="50"/>
      <c r="B38" s="52"/>
      <c r="C38" s="53" t="s">
        <v>103</v>
      </c>
      <c r="D38" s="49" t="s">
        <v>104</v>
      </c>
      <c r="E38" s="77">
        <f>IFERROR(AVERAGE(E39:E40),"")</f>
        <v>0</v>
      </c>
      <c r="F38" s="78"/>
      <c r="G38" s="79"/>
      <c r="H38" s="76"/>
      <c r="I38" s="88"/>
      <c r="J38" s="89"/>
      <c r="K38" s="89"/>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row>
    <row r="39" spans="1:53" ht="47.25">
      <c r="A39" s="54" t="s">
        <v>105</v>
      </c>
      <c r="B39" s="43">
        <v>19</v>
      </c>
      <c r="C39" s="43" t="s">
        <v>106</v>
      </c>
      <c r="D39" s="44"/>
      <c r="E39" s="80">
        <v>0</v>
      </c>
      <c r="F39" s="81"/>
      <c r="G39" s="47"/>
      <c r="H39" s="76"/>
      <c r="I39" s="88"/>
      <c r="J39" s="89"/>
      <c r="K39" s="89"/>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row>
    <row r="40" spans="1:53" ht="47.25">
      <c r="A40" s="54" t="s">
        <v>107</v>
      </c>
      <c r="B40" s="43">
        <v>20</v>
      </c>
      <c r="C40" s="55" t="s">
        <v>108</v>
      </c>
      <c r="D40" s="44"/>
      <c r="E40" s="80">
        <v>0</v>
      </c>
      <c r="F40" s="81"/>
      <c r="G40" s="47"/>
      <c r="H40" s="76"/>
      <c r="I40" s="88"/>
      <c r="J40" s="89"/>
      <c r="K40" s="89"/>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row>
    <row r="41" spans="1:53" ht="15.75">
      <c r="A41" s="50"/>
      <c r="B41" s="52"/>
      <c r="C41" s="53" t="s">
        <v>109</v>
      </c>
      <c r="D41" s="49" t="s">
        <v>110</v>
      </c>
      <c r="E41" s="77" t="str">
        <f>IFERROR(AVERAGE(E42:E57),"")</f>
        <v/>
      </c>
      <c r="F41" s="78"/>
      <c r="G41" s="79"/>
      <c r="H41" s="76"/>
      <c r="I41" s="88"/>
      <c r="J41" s="89"/>
      <c r="K41" s="89"/>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row>
    <row r="42" spans="1:53" ht="94.5">
      <c r="A42" s="46" t="s">
        <v>111</v>
      </c>
      <c r="B42" s="43">
        <v>21</v>
      </c>
      <c r="C42" s="61" t="s">
        <v>112</v>
      </c>
      <c r="D42" s="44"/>
      <c r="E42" s="80">
        <v>0</v>
      </c>
      <c r="F42" s="81"/>
      <c r="G42" s="83"/>
      <c r="H42" s="85"/>
      <c r="I42" s="88"/>
      <c r="J42" s="89"/>
      <c r="K42" s="89"/>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c r="AU42" s="85"/>
      <c r="AV42" s="85"/>
      <c r="AW42" s="85"/>
      <c r="AX42" s="85"/>
      <c r="AY42" s="85"/>
      <c r="AZ42" s="85"/>
      <c r="BA42" s="85"/>
    </row>
    <row r="43" spans="1:53" ht="78.75">
      <c r="A43" s="54" t="s">
        <v>113</v>
      </c>
      <c r="B43" s="43">
        <v>22</v>
      </c>
      <c r="C43" s="51" t="s">
        <v>114</v>
      </c>
      <c r="D43" s="44"/>
      <c r="E43" s="80">
        <v>0</v>
      </c>
      <c r="F43" s="81"/>
      <c r="G43" s="83"/>
      <c r="H43" s="76"/>
      <c r="I43" s="88"/>
      <c r="J43" s="89"/>
      <c r="K43" s="89"/>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row>
    <row r="44" spans="1:53" ht="15.75">
      <c r="A44" s="54" t="s">
        <v>115</v>
      </c>
      <c r="B44" s="43"/>
      <c r="C44" s="51"/>
      <c r="D44" s="44"/>
      <c r="E44" s="80" t="e">
        <f>VLOOKUP(D44,Lookups!$A$2:$B$8,2,FALSE)</f>
        <v>#N/A</v>
      </c>
      <c r="F44" s="81"/>
      <c r="G44" s="86"/>
      <c r="H44" s="76"/>
      <c r="I44" s="88"/>
      <c r="J44" s="89"/>
      <c r="K44" s="89"/>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row>
    <row r="45" spans="1:53" ht="63">
      <c r="A45" s="54" t="s">
        <v>116</v>
      </c>
      <c r="B45" s="43">
        <v>23</v>
      </c>
      <c r="C45" s="62" t="s">
        <v>117</v>
      </c>
      <c r="D45" s="44"/>
      <c r="E45" s="80">
        <v>0</v>
      </c>
      <c r="F45" s="81"/>
      <c r="G45" s="47"/>
      <c r="H45" s="76"/>
      <c r="I45" s="88"/>
      <c r="J45" s="89"/>
      <c r="K45" s="89"/>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row>
    <row r="46" spans="1:53" ht="63">
      <c r="A46" s="54" t="s">
        <v>118</v>
      </c>
      <c r="B46" s="43">
        <v>24</v>
      </c>
      <c r="C46" s="43" t="s">
        <v>119</v>
      </c>
      <c r="D46" s="44"/>
      <c r="E46" s="80">
        <v>0</v>
      </c>
      <c r="F46" s="81"/>
      <c r="G46" s="83"/>
      <c r="H46" s="76"/>
      <c r="I46" s="88"/>
      <c r="J46" s="89"/>
      <c r="K46" s="89"/>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row>
    <row r="47" spans="1:53" ht="47.25">
      <c r="A47" s="54" t="s">
        <v>120</v>
      </c>
      <c r="B47" s="43">
        <v>25</v>
      </c>
      <c r="C47" s="43" t="s">
        <v>121</v>
      </c>
      <c r="D47" s="44"/>
      <c r="E47" s="80">
        <v>0</v>
      </c>
      <c r="F47" s="81"/>
      <c r="G47" s="47"/>
      <c r="H47" s="76"/>
      <c r="I47" s="88"/>
      <c r="J47" s="89"/>
      <c r="K47" s="89"/>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row>
    <row r="48" spans="1:53" ht="63">
      <c r="A48" s="54" t="s">
        <v>122</v>
      </c>
      <c r="B48" s="43">
        <v>26</v>
      </c>
      <c r="C48" s="61" t="s">
        <v>123</v>
      </c>
      <c r="D48" s="44"/>
      <c r="E48" s="80">
        <v>0</v>
      </c>
      <c r="F48" s="81"/>
      <c r="G48" s="83"/>
      <c r="H48" s="76"/>
      <c r="I48" s="88"/>
      <c r="J48" s="89"/>
      <c r="K48" s="89"/>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row>
    <row r="49" spans="1:53" ht="78.75">
      <c r="A49" s="54" t="s">
        <v>124</v>
      </c>
      <c r="B49" s="43">
        <v>27</v>
      </c>
      <c r="C49" s="61" t="s">
        <v>125</v>
      </c>
      <c r="D49" s="44"/>
      <c r="E49" s="80">
        <v>0</v>
      </c>
      <c r="F49" s="81"/>
      <c r="G49" s="47" t="s">
        <v>49</v>
      </c>
      <c r="H49" s="76"/>
      <c r="I49" s="88"/>
      <c r="J49" s="89"/>
      <c r="K49" s="89"/>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row>
    <row r="50" spans="1:53" ht="31.5">
      <c r="A50" s="54" t="s">
        <v>126</v>
      </c>
      <c r="B50" s="43">
        <v>28</v>
      </c>
      <c r="C50" s="61" t="s">
        <v>127</v>
      </c>
      <c r="D50" s="44"/>
      <c r="E50" s="80">
        <v>0</v>
      </c>
      <c r="F50" s="81"/>
      <c r="G50" s="83"/>
      <c r="H50" s="76"/>
      <c r="I50" s="88"/>
      <c r="J50" s="89"/>
      <c r="K50" s="89"/>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row>
    <row r="51" spans="1:53" ht="47.25">
      <c r="A51" s="54"/>
      <c r="B51" s="43">
        <v>29</v>
      </c>
      <c r="C51" s="61" t="s">
        <v>128</v>
      </c>
      <c r="D51" s="44"/>
      <c r="E51" s="80">
        <v>0</v>
      </c>
      <c r="F51" s="81"/>
      <c r="G51" s="47" t="s">
        <v>49</v>
      </c>
      <c r="H51" s="76"/>
      <c r="I51" s="88"/>
      <c r="J51" s="88"/>
      <c r="K51" s="89"/>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row>
    <row r="52" spans="1:53" ht="78.75">
      <c r="A52" s="54" t="s">
        <v>129</v>
      </c>
      <c r="B52" s="43">
        <v>30</v>
      </c>
      <c r="C52" s="61" t="s">
        <v>130</v>
      </c>
      <c r="D52" s="44"/>
      <c r="E52" s="80">
        <v>0</v>
      </c>
      <c r="F52" s="81"/>
      <c r="G52" s="47"/>
      <c r="H52" s="76"/>
      <c r="I52" s="88"/>
      <c r="J52" s="89"/>
      <c r="K52" s="89"/>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row>
    <row r="53" spans="1:53" ht="63">
      <c r="A53" s="54" t="s">
        <v>131</v>
      </c>
      <c r="B53" s="43">
        <v>31</v>
      </c>
      <c r="C53" s="63" t="s">
        <v>132</v>
      </c>
      <c r="D53" s="44"/>
      <c r="E53" s="80">
        <v>0</v>
      </c>
      <c r="F53" s="81"/>
      <c r="G53" s="47"/>
      <c r="H53" s="76"/>
      <c r="I53" s="88"/>
      <c r="J53" s="89"/>
      <c r="K53" s="89"/>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row>
    <row r="54" spans="1:53" ht="78.75">
      <c r="A54" s="54" t="s">
        <v>133</v>
      </c>
      <c r="B54" s="43">
        <v>32</v>
      </c>
      <c r="C54" s="61" t="s">
        <v>134</v>
      </c>
      <c r="D54" s="44"/>
      <c r="E54" s="80">
        <v>0</v>
      </c>
      <c r="F54" s="81"/>
      <c r="G54" s="83"/>
      <c r="H54" s="76"/>
      <c r="I54" s="88"/>
      <c r="J54" s="89"/>
      <c r="K54" s="89"/>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row>
    <row r="55" spans="1:53" ht="78.75">
      <c r="A55" s="54" t="s">
        <v>135</v>
      </c>
      <c r="B55" s="43">
        <v>33</v>
      </c>
      <c r="C55" s="64" t="s">
        <v>136</v>
      </c>
      <c r="D55" s="44"/>
      <c r="E55" s="80">
        <v>0</v>
      </c>
      <c r="F55" s="81"/>
      <c r="G55" s="83"/>
      <c r="H55" s="76"/>
      <c r="I55" s="88"/>
      <c r="J55" s="89"/>
      <c r="K55" s="89"/>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row>
    <row r="56" spans="1:53" ht="47.25">
      <c r="A56" s="54"/>
      <c r="B56" s="43">
        <v>34</v>
      </c>
      <c r="C56" s="64" t="s">
        <v>137</v>
      </c>
      <c r="D56" s="44"/>
      <c r="E56" s="80">
        <v>0</v>
      </c>
      <c r="F56" s="81"/>
      <c r="G56" s="83"/>
      <c r="H56" s="76"/>
      <c r="I56" s="88"/>
      <c r="J56" s="89"/>
      <c r="K56" s="89"/>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row>
    <row r="57" spans="1:53" ht="63">
      <c r="A57" s="54" t="s">
        <v>138</v>
      </c>
      <c r="B57" s="43">
        <v>35</v>
      </c>
      <c r="C57" s="65" t="s">
        <v>139</v>
      </c>
      <c r="D57" s="44"/>
      <c r="E57" s="80">
        <v>0</v>
      </c>
      <c r="F57" s="81"/>
      <c r="G57" s="47"/>
      <c r="H57" s="76"/>
      <c r="I57" s="88"/>
      <c r="J57" s="89"/>
      <c r="K57" s="89"/>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row>
    <row r="58" spans="1:53" ht="15.75">
      <c r="A58" s="50"/>
      <c r="B58" s="52"/>
      <c r="C58" s="53" t="s">
        <v>140</v>
      </c>
      <c r="D58" s="49" t="s">
        <v>141</v>
      </c>
      <c r="E58" s="77">
        <f>IFERROR(AVERAGE(E59:E61),"")</f>
        <v>0</v>
      </c>
      <c r="F58" s="78"/>
      <c r="G58" s="79"/>
      <c r="H58" s="76"/>
      <c r="I58" s="88"/>
      <c r="J58" s="89"/>
      <c r="K58" s="89"/>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row>
    <row r="59" spans="1:53" ht="47.25">
      <c r="A59" s="46"/>
      <c r="B59" s="43">
        <v>36</v>
      </c>
      <c r="C59" s="43" t="s">
        <v>142</v>
      </c>
      <c r="D59" s="44"/>
      <c r="E59" s="80">
        <v>0</v>
      </c>
      <c r="F59" s="81"/>
      <c r="G59" s="56"/>
      <c r="H59" s="85"/>
      <c r="I59" s="88"/>
      <c r="J59" s="89"/>
      <c r="K59" s="89"/>
      <c r="L59" s="85"/>
      <c r="M59" s="85"/>
      <c r="N59" s="85"/>
      <c r="O59" s="85"/>
      <c r="P59" s="85"/>
      <c r="Q59" s="85"/>
      <c r="R59" s="85"/>
      <c r="S59" s="85"/>
      <c r="T59" s="85"/>
      <c r="U59" s="85"/>
      <c r="V59" s="85"/>
      <c r="W59" s="85"/>
      <c r="X59" s="85"/>
      <c r="Y59" s="85"/>
      <c r="Z59" s="85"/>
      <c r="AA59" s="85"/>
      <c r="AB59" s="85"/>
      <c r="AC59" s="85"/>
      <c r="AD59" s="85"/>
      <c r="AE59" s="85"/>
      <c r="AF59" s="85"/>
      <c r="AG59" s="85"/>
      <c r="AH59" s="85"/>
      <c r="AI59" s="85"/>
      <c r="AJ59" s="85"/>
      <c r="AK59" s="85"/>
      <c r="AL59" s="85"/>
      <c r="AM59" s="85"/>
      <c r="AN59" s="85"/>
      <c r="AO59" s="85"/>
      <c r="AP59" s="85"/>
      <c r="AQ59" s="85"/>
      <c r="AR59" s="85"/>
      <c r="AS59" s="85"/>
      <c r="AT59" s="85"/>
      <c r="AU59" s="85"/>
      <c r="AV59" s="85"/>
      <c r="AW59" s="85"/>
      <c r="AX59" s="85"/>
      <c r="AY59" s="85"/>
      <c r="AZ59" s="85"/>
      <c r="BA59" s="85"/>
    </row>
    <row r="60" spans="1:53" ht="63">
      <c r="A60" s="54" t="s">
        <v>143</v>
      </c>
      <c r="B60" s="43">
        <v>37</v>
      </c>
      <c r="C60" s="43" t="s">
        <v>144</v>
      </c>
      <c r="D60" s="44"/>
      <c r="E60" s="80">
        <v>0</v>
      </c>
      <c r="F60" s="81"/>
      <c r="G60" s="47"/>
      <c r="H60" s="87"/>
      <c r="I60" s="88"/>
      <c r="J60" s="89"/>
      <c r="K60" s="89"/>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row>
    <row r="61" spans="1:53" ht="31.5">
      <c r="A61" s="54" t="s">
        <v>145</v>
      </c>
      <c r="B61" s="43">
        <v>38</v>
      </c>
      <c r="C61" s="43" t="s">
        <v>146</v>
      </c>
      <c r="D61" s="44"/>
      <c r="E61" s="80">
        <v>0</v>
      </c>
      <c r="F61" s="81"/>
      <c r="G61" s="47"/>
      <c r="H61" s="87"/>
      <c r="I61" s="88"/>
      <c r="J61" s="89"/>
      <c r="K61" s="89"/>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row>
    <row r="62" spans="1:53" ht="31.5">
      <c r="A62" s="50"/>
      <c r="B62" s="52"/>
      <c r="C62" s="53" t="s">
        <v>147</v>
      </c>
      <c r="D62" s="49" t="s">
        <v>148</v>
      </c>
      <c r="E62" s="77" t="str">
        <f>IFERROR(AVERAGE(E63:E69),"")</f>
        <v/>
      </c>
      <c r="F62" s="78"/>
      <c r="G62" s="79"/>
      <c r="H62" s="76"/>
      <c r="I62" s="88"/>
      <c r="J62" s="89"/>
      <c r="K62" s="89"/>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row>
    <row r="63" spans="1:53" ht="78.75">
      <c r="A63" s="54" t="s">
        <v>149</v>
      </c>
      <c r="B63" s="43">
        <v>39</v>
      </c>
      <c r="C63" s="55" t="s">
        <v>150</v>
      </c>
      <c r="D63" s="44"/>
      <c r="E63" s="80">
        <v>0</v>
      </c>
      <c r="F63" s="81"/>
      <c r="G63" s="47"/>
      <c r="H63" s="76"/>
      <c r="I63" s="88"/>
      <c r="J63" s="89"/>
      <c r="K63" s="89"/>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row>
    <row r="64" spans="1:53" ht="63">
      <c r="A64" s="54" t="s">
        <v>151</v>
      </c>
      <c r="B64" s="43">
        <v>40</v>
      </c>
      <c r="C64" s="55" t="s">
        <v>152</v>
      </c>
      <c r="D64" s="44"/>
      <c r="E64" s="80">
        <v>0</v>
      </c>
      <c r="F64" s="81"/>
      <c r="G64" s="47"/>
      <c r="H64" s="76"/>
      <c r="I64" s="88"/>
      <c r="J64" s="89"/>
      <c r="K64" s="89"/>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row>
    <row r="65" spans="1:53" ht="78.75">
      <c r="A65" s="54" t="s">
        <v>153</v>
      </c>
      <c r="B65" s="43">
        <v>41</v>
      </c>
      <c r="C65" s="55" t="s">
        <v>154</v>
      </c>
      <c r="D65" s="44"/>
      <c r="E65" s="80">
        <v>0</v>
      </c>
      <c r="F65" s="81"/>
      <c r="G65" s="47"/>
      <c r="H65" s="76"/>
      <c r="I65" s="88"/>
      <c r="J65" s="89"/>
      <c r="K65" s="89"/>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row>
    <row r="66" spans="1:53" ht="47.25">
      <c r="A66" s="54" t="s">
        <v>155</v>
      </c>
      <c r="B66" s="43">
        <v>42</v>
      </c>
      <c r="C66" s="55" t="s">
        <v>156</v>
      </c>
      <c r="D66" s="44"/>
      <c r="E66" s="80">
        <v>0</v>
      </c>
      <c r="F66" s="81"/>
      <c r="G66" s="47"/>
      <c r="H66" s="76"/>
      <c r="I66" s="88"/>
      <c r="J66" s="88"/>
      <c r="K66" s="89"/>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row>
    <row r="67" spans="1:53" ht="15.75">
      <c r="A67" s="91" t="s">
        <v>157</v>
      </c>
      <c r="B67" s="92"/>
      <c r="C67" s="55" t="s">
        <v>158</v>
      </c>
      <c r="D67" s="44"/>
      <c r="E67" s="80" t="e">
        <f>VLOOKUP(D67,Lookups!$A$2:$B$8,2,FALSE)</f>
        <v>#N/A</v>
      </c>
      <c r="F67" s="81"/>
      <c r="G67" s="47"/>
      <c r="H67" s="76"/>
      <c r="I67" s="88"/>
      <c r="J67" s="89"/>
      <c r="K67" s="89"/>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row>
    <row r="68" spans="1:53" ht="110.25">
      <c r="A68" s="54" t="s">
        <v>159</v>
      </c>
      <c r="B68" s="43">
        <v>43</v>
      </c>
      <c r="C68" s="62" t="s">
        <v>160</v>
      </c>
      <c r="D68" s="44"/>
      <c r="E68" s="80">
        <v>0</v>
      </c>
      <c r="F68" s="81"/>
      <c r="G68" s="47"/>
      <c r="H68" s="76"/>
      <c r="I68" s="88"/>
      <c r="J68" s="89"/>
      <c r="K68" s="89"/>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row>
    <row r="69" spans="1:53" ht="47.25">
      <c r="A69" s="54" t="s">
        <v>161</v>
      </c>
      <c r="B69" s="43">
        <v>44</v>
      </c>
      <c r="C69" s="62" t="s">
        <v>162</v>
      </c>
      <c r="D69" s="44"/>
      <c r="E69" s="80">
        <v>0</v>
      </c>
      <c r="F69" s="81"/>
      <c r="G69" s="47"/>
      <c r="H69" s="76"/>
      <c r="I69" s="88"/>
      <c r="J69" s="89"/>
      <c r="K69" s="89"/>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row>
    <row r="70" spans="1:53" ht="15.75">
      <c r="A70" s="50"/>
      <c r="B70" s="52"/>
      <c r="C70" s="53" t="s">
        <v>163</v>
      </c>
      <c r="D70" s="49" t="s">
        <v>164</v>
      </c>
      <c r="E70" s="77">
        <f>IFERROR(AVERAGE(E71:E90),"")</f>
        <v>0</v>
      </c>
      <c r="F70" s="78"/>
      <c r="G70" s="79"/>
      <c r="H70" s="76"/>
      <c r="I70" s="88"/>
      <c r="J70" s="89"/>
      <c r="K70" s="89"/>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row>
    <row r="71" spans="1:53" ht="47.25">
      <c r="A71" s="54" t="s">
        <v>165</v>
      </c>
      <c r="B71" s="43">
        <v>45</v>
      </c>
      <c r="C71" s="61" t="s">
        <v>166</v>
      </c>
      <c r="D71" s="44"/>
      <c r="E71" s="80">
        <v>0</v>
      </c>
      <c r="F71" s="81"/>
      <c r="G71" s="47"/>
      <c r="H71" s="76"/>
      <c r="I71" s="88"/>
      <c r="J71" s="89"/>
      <c r="K71" s="89"/>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row>
    <row r="72" spans="1:53" ht="31.5">
      <c r="A72" s="54" t="s">
        <v>167</v>
      </c>
      <c r="B72" s="43">
        <v>46</v>
      </c>
      <c r="C72" s="61" t="s">
        <v>168</v>
      </c>
      <c r="D72" s="44"/>
      <c r="E72" s="80">
        <v>0</v>
      </c>
      <c r="F72" s="81"/>
      <c r="G72" s="47"/>
      <c r="H72" s="76"/>
      <c r="I72" s="88"/>
      <c r="J72" s="89"/>
      <c r="K72" s="89"/>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row>
    <row r="73" spans="1:53" ht="63">
      <c r="A73" s="54" t="s">
        <v>169</v>
      </c>
      <c r="B73" s="43">
        <v>47</v>
      </c>
      <c r="C73" s="63" t="s">
        <v>170</v>
      </c>
      <c r="D73" s="44"/>
      <c r="E73" s="80">
        <v>0</v>
      </c>
      <c r="F73" s="81"/>
      <c r="G73" s="47"/>
      <c r="H73" s="76"/>
      <c r="I73" s="88"/>
      <c r="J73" s="89"/>
      <c r="K73" s="89"/>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row>
    <row r="74" spans="1:53" ht="47.25">
      <c r="A74" s="54" t="s">
        <v>171</v>
      </c>
      <c r="B74" s="43">
        <v>48</v>
      </c>
      <c r="C74" s="43" t="s">
        <v>172</v>
      </c>
      <c r="D74" s="44"/>
      <c r="E74" s="80">
        <v>0</v>
      </c>
      <c r="F74" s="81"/>
      <c r="G74" s="47"/>
      <c r="H74" s="76"/>
      <c r="I74" s="88"/>
      <c r="J74" s="89"/>
      <c r="K74" s="89"/>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row>
    <row r="75" spans="1:53" ht="63">
      <c r="A75" s="54" t="s">
        <v>173</v>
      </c>
      <c r="B75" s="43">
        <v>49</v>
      </c>
      <c r="C75" s="63" t="s">
        <v>174</v>
      </c>
      <c r="D75" s="44"/>
      <c r="E75" s="80">
        <v>0</v>
      </c>
      <c r="F75" s="81"/>
      <c r="G75" s="47"/>
      <c r="H75" s="76"/>
      <c r="I75" s="88"/>
      <c r="J75" s="89"/>
      <c r="K75" s="89"/>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row>
    <row r="76" spans="1:53" ht="78.75">
      <c r="A76" s="54" t="s">
        <v>175</v>
      </c>
      <c r="B76" s="43">
        <v>50</v>
      </c>
      <c r="C76" s="61" t="s">
        <v>176</v>
      </c>
      <c r="D76" s="44"/>
      <c r="E76" s="80">
        <v>0</v>
      </c>
      <c r="F76" s="81"/>
      <c r="G76" s="47"/>
      <c r="H76" s="76"/>
      <c r="I76" s="88"/>
      <c r="J76" s="89"/>
      <c r="K76" s="89"/>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row>
    <row r="77" spans="1:53" ht="63">
      <c r="A77" s="46"/>
      <c r="B77" s="43">
        <v>51</v>
      </c>
      <c r="C77" s="43" t="s">
        <v>177</v>
      </c>
      <c r="D77" s="44"/>
      <c r="E77" s="80">
        <v>0</v>
      </c>
      <c r="F77" s="81"/>
      <c r="G77" s="56"/>
      <c r="H77" s="85"/>
      <c r="I77" s="88"/>
      <c r="J77" s="89"/>
      <c r="K77" s="89"/>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85"/>
      <c r="BA77" s="85"/>
    </row>
    <row r="78" spans="1:53" ht="47.25">
      <c r="A78" s="54" t="s">
        <v>178</v>
      </c>
      <c r="B78" s="43">
        <v>52</v>
      </c>
      <c r="C78" s="61" t="s">
        <v>179</v>
      </c>
      <c r="D78" s="44"/>
      <c r="E78" s="80">
        <v>0</v>
      </c>
      <c r="F78" s="81"/>
      <c r="G78" s="47"/>
      <c r="H78" s="76"/>
      <c r="I78" s="88"/>
      <c r="J78" s="89"/>
      <c r="K78" s="89"/>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row>
    <row r="79" spans="1:53" ht="78.75">
      <c r="A79" s="46"/>
      <c r="B79" s="43">
        <v>53</v>
      </c>
      <c r="C79" s="57" t="s">
        <v>180</v>
      </c>
      <c r="D79" s="44"/>
      <c r="E79" s="80">
        <v>0</v>
      </c>
      <c r="F79" s="81"/>
      <c r="G79" s="56"/>
      <c r="H79" s="85"/>
      <c r="I79" s="88"/>
      <c r="J79" s="89"/>
      <c r="K79" s="89"/>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85"/>
      <c r="BA79" s="85"/>
    </row>
    <row r="80" spans="1:53" ht="94.5">
      <c r="A80" s="46"/>
      <c r="B80" s="43">
        <v>54</v>
      </c>
      <c r="C80" s="43" t="s">
        <v>181</v>
      </c>
      <c r="D80" s="44"/>
      <c r="E80" s="80">
        <v>0</v>
      </c>
      <c r="F80" s="81"/>
      <c r="G80" s="56"/>
      <c r="H80" s="85"/>
      <c r="I80" s="88"/>
      <c r="J80" s="89"/>
      <c r="K80" s="89"/>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85"/>
      <c r="BA80" s="85"/>
    </row>
    <row r="81" spans="1:53" ht="63">
      <c r="A81" s="46"/>
      <c r="B81" s="43">
        <v>55</v>
      </c>
      <c r="C81" s="43" t="s">
        <v>182</v>
      </c>
      <c r="D81" s="44"/>
      <c r="E81" s="80">
        <v>0</v>
      </c>
      <c r="F81" s="81"/>
      <c r="G81" s="56"/>
      <c r="H81" s="85"/>
      <c r="I81" s="88"/>
      <c r="J81" s="89"/>
      <c r="K81" s="89"/>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5"/>
      <c r="AK81" s="85"/>
      <c r="AL81" s="85"/>
      <c r="AM81" s="85"/>
      <c r="AN81" s="85"/>
      <c r="AO81" s="85"/>
      <c r="AP81" s="85"/>
      <c r="AQ81" s="85"/>
      <c r="AR81" s="85"/>
      <c r="AS81" s="85"/>
      <c r="AT81" s="85"/>
      <c r="AU81" s="85"/>
      <c r="AV81" s="85"/>
      <c r="AW81" s="85"/>
      <c r="AX81" s="85"/>
      <c r="AY81" s="85"/>
      <c r="AZ81" s="85"/>
      <c r="BA81" s="85"/>
    </row>
    <row r="82" spans="1:53" ht="63">
      <c r="A82" s="46" t="s">
        <v>183</v>
      </c>
      <c r="B82" s="43">
        <v>56</v>
      </c>
      <c r="C82" s="63" t="s">
        <v>184</v>
      </c>
      <c r="D82" s="44"/>
      <c r="E82" s="80">
        <v>0</v>
      </c>
      <c r="F82" s="81"/>
      <c r="G82" s="56"/>
      <c r="H82" s="85"/>
      <c r="I82" s="88"/>
      <c r="J82" s="89"/>
      <c r="K82" s="89"/>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5"/>
      <c r="AK82" s="85"/>
      <c r="AL82" s="85"/>
      <c r="AM82" s="85"/>
      <c r="AN82" s="85"/>
      <c r="AO82" s="85"/>
      <c r="AP82" s="85"/>
      <c r="AQ82" s="85"/>
      <c r="AR82" s="85"/>
      <c r="AS82" s="85"/>
      <c r="AT82" s="85"/>
      <c r="AU82" s="85"/>
      <c r="AV82" s="85"/>
      <c r="AW82" s="85"/>
      <c r="AX82" s="85"/>
      <c r="AY82" s="85"/>
      <c r="AZ82" s="85"/>
      <c r="BA82" s="85"/>
    </row>
    <row r="83" spans="1:53" ht="94.5">
      <c r="A83" s="46" t="s">
        <v>185</v>
      </c>
      <c r="B83" s="43">
        <v>57</v>
      </c>
      <c r="C83" s="63" t="s">
        <v>186</v>
      </c>
      <c r="D83" s="44"/>
      <c r="E83" s="80">
        <v>0</v>
      </c>
      <c r="F83" s="81"/>
      <c r="G83" s="47"/>
      <c r="H83" s="76"/>
      <c r="I83" s="88"/>
      <c r="J83" s="89"/>
      <c r="K83" s="89"/>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row>
    <row r="84" spans="1:53" ht="94.5">
      <c r="A84" s="46" t="s">
        <v>187</v>
      </c>
      <c r="B84" s="43">
        <v>58</v>
      </c>
      <c r="C84" s="61" t="s">
        <v>188</v>
      </c>
      <c r="D84" s="44"/>
      <c r="E84" s="80">
        <v>0</v>
      </c>
      <c r="F84" s="81"/>
      <c r="G84" s="47"/>
      <c r="H84" s="76"/>
      <c r="I84" s="88"/>
      <c r="J84" s="89"/>
      <c r="K84" s="89"/>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row>
    <row r="85" spans="1:53" ht="63">
      <c r="A85" s="46" t="s">
        <v>189</v>
      </c>
      <c r="B85" s="43">
        <v>59</v>
      </c>
      <c r="C85" s="61" t="s">
        <v>190</v>
      </c>
      <c r="D85" s="44"/>
      <c r="E85" s="80">
        <v>0</v>
      </c>
      <c r="F85" s="81"/>
      <c r="G85" s="83"/>
      <c r="H85" s="76"/>
      <c r="I85" s="88"/>
      <c r="J85" s="89"/>
      <c r="K85" s="89"/>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row>
    <row r="86" spans="1:53" ht="31.5">
      <c r="A86" s="46"/>
      <c r="B86" s="43">
        <v>60</v>
      </c>
      <c r="C86" s="59" t="s">
        <v>191</v>
      </c>
      <c r="D86" s="44"/>
      <c r="E86" s="80">
        <v>0</v>
      </c>
      <c r="F86" s="81"/>
      <c r="G86" s="47"/>
      <c r="H86" s="76"/>
      <c r="I86" s="88"/>
      <c r="J86" s="89"/>
      <c r="K86" s="89"/>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row>
    <row r="87" spans="1:53" ht="47.25">
      <c r="A87" s="46"/>
      <c r="B87" s="43">
        <v>61</v>
      </c>
      <c r="C87" s="59" t="s">
        <v>192</v>
      </c>
      <c r="D87" s="44"/>
      <c r="E87" s="80">
        <v>0</v>
      </c>
      <c r="F87" s="81"/>
      <c r="G87" s="47"/>
      <c r="H87" s="76"/>
      <c r="I87" s="88"/>
      <c r="J87" s="89"/>
      <c r="K87" s="89"/>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row>
    <row r="88" spans="1:53" ht="47.25">
      <c r="A88" s="46" t="s">
        <v>193</v>
      </c>
      <c r="B88" s="43">
        <v>62</v>
      </c>
      <c r="C88" s="61" t="s">
        <v>194</v>
      </c>
      <c r="D88" s="44"/>
      <c r="E88" s="80">
        <v>0</v>
      </c>
      <c r="F88" s="81"/>
      <c r="G88" s="47"/>
      <c r="H88" s="76"/>
      <c r="I88" s="88"/>
      <c r="J88" s="89"/>
      <c r="K88" s="89"/>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row>
    <row r="89" spans="1:53" ht="110.25">
      <c r="A89" s="46" t="s">
        <v>195</v>
      </c>
      <c r="B89" s="43">
        <v>63</v>
      </c>
      <c r="C89" s="61" t="s">
        <v>196</v>
      </c>
      <c r="D89" s="44"/>
      <c r="E89" s="80">
        <v>0</v>
      </c>
      <c r="F89" s="81"/>
      <c r="G89" s="47"/>
      <c r="H89" s="76"/>
      <c r="I89" s="88"/>
      <c r="J89" s="89"/>
      <c r="K89" s="89"/>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row>
    <row r="90" spans="1:53" ht="78.75">
      <c r="A90" s="46" t="s">
        <v>197</v>
      </c>
      <c r="B90" s="43">
        <v>64</v>
      </c>
      <c r="C90" s="43" t="s">
        <v>198</v>
      </c>
      <c r="D90" s="44"/>
      <c r="E90" s="80">
        <v>0</v>
      </c>
      <c r="F90" s="81"/>
      <c r="G90" s="47"/>
      <c r="H90" s="76"/>
      <c r="I90" s="88"/>
      <c r="J90" s="89"/>
      <c r="K90" s="89"/>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row>
    <row r="91" spans="1:53" ht="15.75">
      <c r="A91" s="50"/>
      <c r="B91" s="52"/>
      <c r="C91" s="53" t="s">
        <v>199</v>
      </c>
      <c r="D91" s="49" t="s">
        <v>200</v>
      </c>
      <c r="E91" s="77">
        <f>IFERROR(AVERAGE(E92:E97),"")</f>
        <v>0</v>
      </c>
      <c r="F91" s="78"/>
      <c r="G91" s="79"/>
      <c r="H91" s="76"/>
      <c r="I91" s="88"/>
      <c r="J91" s="89"/>
      <c r="K91" s="89"/>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row>
    <row r="92" spans="1:53" ht="63">
      <c r="A92" s="46" t="s">
        <v>201</v>
      </c>
      <c r="B92" s="43">
        <v>65</v>
      </c>
      <c r="C92" s="51" t="s">
        <v>202</v>
      </c>
      <c r="D92" s="44"/>
      <c r="E92" s="80">
        <v>0</v>
      </c>
      <c r="F92" s="81"/>
      <c r="G92" s="83"/>
      <c r="H92" s="76"/>
      <c r="I92" s="88"/>
      <c r="J92" s="89"/>
      <c r="K92" s="90"/>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row>
    <row r="93" spans="1:53" ht="31.5">
      <c r="A93" s="45"/>
      <c r="B93" s="43">
        <v>66</v>
      </c>
      <c r="C93" s="51" t="s">
        <v>203</v>
      </c>
      <c r="D93" s="44"/>
      <c r="E93" s="80">
        <v>0</v>
      </c>
      <c r="F93" s="81"/>
      <c r="G93" s="47"/>
      <c r="H93" s="76"/>
      <c r="I93" s="88"/>
      <c r="J93" s="89"/>
      <c r="K93" s="89"/>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row>
    <row r="94" spans="1:53" ht="47.25">
      <c r="A94" s="54" t="s">
        <v>204</v>
      </c>
      <c r="B94" s="43">
        <v>67</v>
      </c>
      <c r="C94" s="63" t="s">
        <v>205</v>
      </c>
      <c r="D94" s="44"/>
      <c r="E94" s="80">
        <v>0</v>
      </c>
      <c r="F94" s="81"/>
      <c r="G94" s="47"/>
      <c r="H94" s="76"/>
      <c r="I94" s="88"/>
      <c r="J94" s="89"/>
      <c r="K94" s="89"/>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row>
    <row r="95" spans="1:53" ht="110.25">
      <c r="A95" s="46" t="s">
        <v>206</v>
      </c>
      <c r="B95" s="43">
        <v>68</v>
      </c>
      <c r="C95" s="43" t="s">
        <v>207</v>
      </c>
      <c r="D95" s="44"/>
      <c r="E95" s="80">
        <v>0</v>
      </c>
      <c r="F95" s="81"/>
      <c r="G95" s="56"/>
      <c r="H95" s="85"/>
      <c r="I95" s="88"/>
      <c r="J95" s="89"/>
      <c r="K95" s="89"/>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5"/>
      <c r="AK95" s="85"/>
      <c r="AL95" s="85"/>
      <c r="AM95" s="85"/>
      <c r="AN95" s="85"/>
      <c r="AO95" s="85"/>
      <c r="AP95" s="85"/>
      <c r="AQ95" s="85"/>
      <c r="AR95" s="85"/>
      <c r="AS95" s="85"/>
      <c r="AT95" s="85"/>
      <c r="AU95" s="85"/>
      <c r="AV95" s="85"/>
      <c r="AW95" s="85"/>
      <c r="AX95" s="85"/>
      <c r="AY95" s="85"/>
      <c r="AZ95" s="85"/>
      <c r="BA95" s="85"/>
    </row>
    <row r="96" spans="1:53" ht="63">
      <c r="A96" s="54" t="s">
        <v>208</v>
      </c>
      <c r="B96" s="43">
        <v>69</v>
      </c>
      <c r="C96" s="61" t="s">
        <v>209</v>
      </c>
      <c r="D96" s="44"/>
      <c r="E96" s="80">
        <v>0</v>
      </c>
      <c r="F96" s="81"/>
      <c r="G96" s="83"/>
      <c r="H96" s="76"/>
      <c r="I96" s="88"/>
      <c r="J96" s="88"/>
      <c r="K96" s="89"/>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row>
    <row r="97" spans="1:53" ht="47.25">
      <c r="A97" s="54" t="s">
        <v>210</v>
      </c>
      <c r="B97" s="43">
        <v>70</v>
      </c>
      <c r="C97" s="61" t="s">
        <v>211</v>
      </c>
      <c r="D97" s="44"/>
      <c r="E97" s="80">
        <v>0</v>
      </c>
      <c r="F97" s="81"/>
      <c r="G97" s="83"/>
      <c r="H97" s="76"/>
      <c r="I97" s="88"/>
      <c r="J97" s="89"/>
      <c r="K97" s="89"/>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row>
    <row r="98" spans="1:53" ht="31.5">
      <c r="A98" s="50"/>
      <c r="B98" s="52"/>
      <c r="C98" s="53" t="s">
        <v>212</v>
      </c>
      <c r="D98" s="49" t="s">
        <v>213</v>
      </c>
      <c r="E98" s="77">
        <f>IFERROR(AVERAGE(E99:E113),"")</f>
        <v>0</v>
      </c>
      <c r="F98" s="78"/>
      <c r="G98" s="79"/>
      <c r="H98" s="76"/>
      <c r="I98" s="88"/>
      <c r="J98" s="89"/>
      <c r="K98" s="89"/>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row>
    <row r="99" spans="1:53" ht="47.25">
      <c r="A99" s="46" t="s">
        <v>214</v>
      </c>
      <c r="B99" s="43">
        <v>71</v>
      </c>
      <c r="C99" s="82" t="s">
        <v>215</v>
      </c>
      <c r="D99" s="44"/>
      <c r="E99" s="80">
        <v>0</v>
      </c>
      <c r="F99" s="81"/>
      <c r="G99" s="56"/>
      <c r="H99" s="93"/>
      <c r="I99" s="88"/>
      <c r="J99" s="88"/>
      <c r="K99" s="89"/>
      <c r="L99" s="93"/>
      <c r="M99" s="93"/>
      <c r="N99" s="93"/>
      <c r="O99" s="93"/>
      <c r="P99" s="93"/>
      <c r="Q99" s="93"/>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row>
    <row r="100" spans="1:53" ht="31.5">
      <c r="A100" s="45" t="s">
        <v>216</v>
      </c>
      <c r="B100" s="43"/>
      <c r="C100" s="43"/>
      <c r="D100" s="44"/>
      <c r="E100" s="80">
        <v>0</v>
      </c>
      <c r="F100" s="81"/>
      <c r="G100" s="47"/>
      <c r="H100" s="87"/>
      <c r="I100" s="88"/>
      <c r="J100" s="89"/>
      <c r="K100" s="89"/>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row>
    <row r="101" spans="1:53" ht="63">
      <c r="A101" s="54" t="s">
        <v>217</v>
      </c>
      <c r="B101" s="43">
        <v>72</v>
      </c>
      <c r="C101" s="43" t="s">
        <v>218</v>
      </c>
      <c r="D101" s="44"/>
      <c r="E101" s="80">
        <v>0</v>
      </c>
      <c r="F101" s="81"/>
      <c r="G101" s="47"/>
      <c r="H101" s="87"/>
      <c r="I101" s="88"/>
      <c r="J101" s="89"/>
      <c r="K101" s="89"/>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row>
    <row r="102" spans="1:53" ht="110.25">
      <c r="A102" s="54" t="s">
        <v>219</v>
      </c>
      <c r="B102" s="43">
        <v>73</v>
      </c>
      <c r="C102" s="43" t="s">
        <v>220</v>
      </c>
      <c r="D102" s="44"/>
      <c r="E102" s="80">
        <v>0</v>
      </c>
      <c r="F102" s="81"/>
      <c r="G102" s="47"/>
      <c r="H102" s="87"/>
      <c r="I102" s="88"/>
      <c r="J102" s="88"/>
      <c r="K102" s="89"/>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row>
    <row r="103" spans="1:53" ht="63">
      <c r="A103" s="54" t="s">
        <v>221</v>
      </c>
      <c r="B103" s="43">
        <v>74</v>
      </c>
      <c r="C103" s="55" t="s">
        <v>222</v>
      </c>
      <c r="D103" s="44"/>
      <c r="E103" s="80">
        <v>0</v>
      </c>
      <c r="F103" s="81"/>
      <c r="G103" s="47"/>
      <c r="H103" s="87"/>
      <c r="I103" s="88"/>
      <c r="J103" s="89"/>
      <c r="K103" s="89"/>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row>
    <row r="104" spans="1:53" ht="31.5">
      <c r="A104" s="54" t="s">
        <v>223</v>
      </c>
      <c r="B104" s="43">
        <v>75</v>
      </c>
      <c r="C104" s="55" t="s">
        <v>224</v>
      </c>
      <c r="D104" s="44"/>
      <c r="E104" s="80">
        <v>0</v>
      </c>
      <c r="F104" s="81"/>
      <c r="G104" s="47"/>
      <c r="H104" s="87"/>
      <c r="I104" s="88"/>
      <c r="J104" s="89"/>
      <c r="K104" s="89"/>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row>
    <row r="105" spans="1:53" ht="63">
      <c r="A105" s="54" t="s">
        <v>225</v>
      </c>
      <c r="B105" s="43">
        <v>76</v>
      </c>
      <c r="C105" s="55" t="s">
        <v>226</v>
      </c>
      <c r="D105" s="44"/>
      <c r="E105" s="80">
        <v>0</v>
      </c>
      <c r="F105" s="81"/>
      <c r="G105" s="47"/>
      <c r="H105" s="87"/>
      <c r="I105" s="88"/>
      <c r="J105" s="89"/>
      <c r="K105" s="89"/>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row>
    <row r="106" spans="1:53" ht="78.75">
      <c r="A106" s="54" t="s">
        <v>227</v>
      </c>
      <c r="B106" s="43">
        <v>77</v>
      </c>
      <c r="C106" s="43" t="s">
        <v>228</v>
      </c>
      <c r="D106" s="44"/>
      <c r="E106" s="80">
        <v>0</v>
      </c>
      <c r="F106" s="81"/>
      <c r="G106" s="47"/>
      <c r="H106" s="87"/>
      <c r="I106" s="88"/>
      <c r="J106" s="89"/>
      <c r="K106" s="89"/>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row>
    <row r="107" spans="1:53" ht="63">
      <c r="A107" s="54" t="s">
        <v>229</v>
      </c>
      <c r="B107" s="43">
        <v>78</v>
      </c>
      <c r="C107" s="43" t="s">
        <v>230</v>
      </c>
      <c r="D107" s="44"/>
      <c r="E107" s="80">
        <v>0</v>
      </c>
      <c r="F107" s="81"/>
      <c r="G107" s="47"/>
      <c r="H107" s="87"/>
      <c r="I107" s="88"/>
      <c r="J107" s="89"/>
      <c r="K107" s="89"/>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row>
    <row r="108" spans="1:53" ht="47.25">
      <c r="A108" s="54" t="s">
        <v>231</v>
      </c>
      <c r="B108" s="43">
        <v>79</v>
      </c>
      <c r="C108" s="43" t="s">
        <v>232</v>
      </c>
      <c r="D108" s="44"/>
      <c r="E108" s="80">
        <v>0</v>
      </c>
      <c r="F108" s="81"/>
      <c r="G108" s="47"/>
      <c r="H108" s="87"/>
      <c r="I108" s="88"/>
      <c r="J108" s="89"/>
      <c r="K108" s="89"/>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row>
    <row r="109" spans="1:53" ht="94.5">
      <c r="A109" s="54" t="s">
        <v>233</v>
      </c>
      <c r="B109" s="43">
        <v>80</v>
      </c>
      <c r="C109" s="55" t="s">
        <v>234</v>
      </c>
      <c r="D109" s="44"/>
      <c r="E109" s="80">
        <v>0</v>
      </c>
      <c r="F109" s="81"/>
      <c r="G109" s="47"/>
      <c r="H109" s="87"/>
      <c r="I109" s="88"/>
      <c r="J109" s="89"/>
      <c r="K109" s="89"/>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row>
    <row r="110" spans="1:53" ht="78.75">
      <c r="A110" s="54" t="s">
        <v>235</v>
      </c>
      <c r="B110" s="43">
        <v>81</v>
      </c>
      <c r="C110" s="55" t="s">
        <v>236</v>
      </c>
      <c r="D110" s="44"/>
      <c r="E110" s="80">
        <v>0</v>
      </c>
      <c r="F110" s="81"/>
      <c r="G110" s="47"/>
      <c r="H110" s="87"/>
      <c r="I110" s="88"/>
      <c r="J110" s="89"/>
      <c r="K110" s="89"/>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row>
    <row r="111" spans="1:53" ht="47.25">
      <c r="A111" s="54" t="s">
        <v>237</v>
      </c>
      <c r="B111" s="43">
        <v>82</v>
      </c>
      <c r="C111" s="55" t="s">
        <v>238</v>
      </c>
      <c r="D111" s="44"/>
      <c r="E111" s="80">
        <v>0</v>
      </c>
      <c r="F111" s="81"/>
      <c r="G111" s="47"/>
      <c r="H111" s="87"/>
      <c r="I111" s="88"/>
      <c r="J111" s="89"/>
      <c r="K111" s="89"/>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row>
    <row r="112" spans="1:53" ht="47.25">
      <c r="A112" s="54" t="s">
        <v>239</v>
      </c>
      <c r="B112" s="43">
        <v>83</v>
      </c>
      <c r="C112" s="55" t="s">
        <v>240</v>
      </c>
      <c r="D112" s="44"/>
      <c r="E112" s="80">
        <v>0</v>
      </c>
      <c r="F112" s="81"/>
      <c r="G112" s="47"/>
      <c r="H112" s="87"/>
      <c r="I112" s="88"/>
      <c r="J112" s="89"/>
      <c r="K112" s="89"/>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row>
    <row r="113" spans="1:53" ht="94.5">
      <c r="A113" s="46" t="s">
        <v>241</v>
      </c>
      <c r="B113" s="43">
        <v>84</v>
      </c>
      <c r="C113" s="43" t="s">
        <v>242</v>
      </c>
      <c r="D113" s="44"/>
      <c r="E113" s="80">
        <v>0</v>
      </c>
      <c r="F113" s="81"/>
      <c r="G113" s="47"/>
      <c r="H113" s="87"/>
      <c r="I113" s="88"/>
      <c r="J113" s="89"/>
      <c r="K113" s="89"/>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row>
    <row r="114" spans="1:53" ht="15.75">
      <c r="A114" s="50"/>
      <c r="B114" s="52"/>
      <c r="C114" s="53" t="s">
        <v>243</v>
      </c>
      <c r="D114" s="49" t="s">
        <v>244</v>
      </c>
      <c r="E114" s="77">
        <f>IFERROR(AVERAGE(E115:E120),"")</f>
        <v>0</v>
      </c>
      <c r="F114" s="78"/>
      <c r="G114" s="79"/>
      <c r="H114" s="76"/>
      <c r="I114" s="88"/>
      <c r="J114" s="89"/>
      <c r="K114" s="89"/>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row>
    <row r="115" spans="1:53" ht="78.75">
      <c r="A115" s="54" t="s">
        <v>245</v>
      </c>
      <c r="B115" s="43">
        <v>85</v>
      </c>
      <c r="C115" s="58" t="s">
        <v>246</v>
      </c>
      <c r="D115" s="44"/>
      <c r="E115" s="80">
        <v>0</v>
      </c>
      <c r="F115" s="81"/>
      <c r="G115" s="47"/>
      <c r="H115" s="76"/>
      <c r="I115" s="88"/>
      <c r="J115" s="89"/>
      <c r="K115" s="89"/>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row>
    <row r="116" spans="1:53" ht="47.25">
      <c r="A116" s="54" t="s">
        <v>247</v>
      </c>
      <c r="B116" s="43">
        <v>86</v>
      </c>
      <c r="C116" s="59" t="s">
        <v>248</v>
      </c>
      <c r="D116" s="44"/>
      <c r="E116" s="80">
        <v>0</v>
      </c>
      <c r="F116" s="81"/>
      <c r="G116" s="47"/>
      <c r="H116" s="76"/>
      <c r="I116" s="88"/>
      <c r="J116" s="89"/>
      <c r="K116" s="89"/>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row>
    <row r="117" spans="1:53" ht="47.25">
      <c r="A117" s="46" t="s">
        <v>249</v>
      </c>
      <c r="B117" s="43">
        <v>87</v>
      </c>
      <c r="C117" s="63" t="s">
        <v>250</v>
      </c>
      <c r="D117" s="44"/>
      <c r="E117" s="80">
        <v>0</v>
      </c>
      <c r="F117" s="81"/>
      <c r="G117" s="47"/>
      <c r="H117" s="76"/>
      <c r="I117" s="88"/>
      <c r="J117" s="89"/>
      <c r="K117" s="89"/>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row>
    <row r="118" spans="1:53" ht="78.75">
      <c r="A118" s="46" t="s">
        <v>251</v>
      </c>
      <c r="B118" s="43">
        <v>88</v>
      </c>
      <c r="C118" s="59" t="s">
        <v>252</v>
      </c>
      <c r="D118" s="44"/>
      <c r="E118" s="80">
        <v>0</v>
      </c>
      <c r="F118" s="81"/>
      <c r="G118" s="47"/>
      <c r="H118" s="76"/>
      <c r="I118" s="88"/>
      <c r="J118" s="89"/>
      <c r="K118" s="89"/>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row>
    <row r="119" spans="1:53" ht="47.25">
      <c r="A119" s="45"/>
      <c r="B119" s="43">
        <v>89</v>
      </c>
      <c r="C119" s="43" t="s">
        <v>253</v>
      </c>
      <c r="D119" s="44"/>
      <c r="E119" s="80">
        <v>0</v>
      </c>
      <c r="F119" s="81"/>
      <c r="G119" s="47"/>
      <c r="H119" s="76"/>
      <c r="I119" s="88"/>
      <c r="J119" s="89"/>
      <c r="K119" s="89"/>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row>
    <row r="120" spans="1:53" ht="63">
      <c r="A120" s="45"/>
      <c r="B120" s="43">
        <v>90</v>
      </c>
      <c r="C120" s="43" t="s">
        <v>254</v>
      </c>
      <c r="D120" s="44"/>
      <c r="E120" s="80">
        <v>0</v>
      </c>
      <c r="F120" s="81"/>
      <c r="G120" s="47"/>
      <c r="H120" s="76"/>
      <c r="I120" s="88"/>
      <c r="J120" s="89"/>
      <c r="K120" s="89"/>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row>
    <row r="121" spans="1:53" ht="31.5">
      <c r="A121" s="50"/>
      <c r="B121" s="52"/>
      <c r="C121" s="53" t="s">
        <v>255</v>
      </c>
      <c r="D121" s="49" t="s">
        <v>256</v>
      </c>
      <c r="E121" s="77">
        <f>IFERROR(AVERAGE(E122:E123),"")</f>
        <v>0</v>
      </c>
      <c r="F121" s="78"/>
      <c r="G121" s="79"/>
      <c r="H121" s="76"/>
      <c r="I121" s="88"/>
      <c r="J121" s="89"/>
      <c r="K121" s="89"/>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row>
    <row r="122" spans="1:53" ht="78.75">
      <c r="A122" s="54" t="s">
        <v>257</v>
      </c>
      <c r="B122" s="43">
        <v>91</v>
      </c>
      <c r="C122" s="51" t="s">
        <v>258</v>
      </c>
      <c r="D122" s="44"/>
      <c r="E122" s="80">
        <v>0</v>
      </c>
      <c r="F122" s="81"/>
      <c r="G122" s="83"/>
      <c r="H122" s="87"/>
      <c r="I122" s="88"/>
      <c r="J122" s="89"/>
      <c r="K122" s="89"/>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row>
    <row r="123" spans="1:53" ht="47.25">
      <c r="A123" s="54" t="s">
        <v>259</v>
      </c>
      <c r="B123" s="43">
        <v>92</v>
      </c>
      <c r="C123" s="55" t="s">
        <v>260</v>
      </c>
      <c r="D123" s="44"/>
      <c r="E123" s="80">
        <v>0</v>
      </c>
      <c r="F123" s="81"/>
      <c r="G123" s="83"/>
      <c r="H123" s="87"/>
      <c r="I123" s="88"/>
      <c r="J123" s="89"/>
      <c r="K123" s="89"/>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row>
    <row r="124" spans="1:53" ht="47.25">
      <c r="A124" s="50"/>
      <c r="B124" s="52"/>
      <c r="C124" s="53" t="s">
        <v>261</v>
      </c>
      <c r="D124" s="49" t="s">
        <v>262</v>
      </c>
      <c r="E124" s="77">
        <f>IFERROR(AVERAGE(E125),"")</f>
        <v>0</v>
      </c>
      <c r="F124" s="78"/>
      <c r="G124" s="79"/>
      <c r="H124" s="76"/>
      <c r="I124" s="88"/>
      <c r="J124" s="89"/>
      <c r="K124" s="89"/>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row>
    <row r="125" spans="1:53" ht="126">
      <c r="A125" s="54" t="s">
        <v>263</v>
      </c>
      <c r="B125" s="43">
        <v>93</v>
      </c>
      <c r="C125" s="55" t="s">
        <v>264</v>
      </c>
      <c r="D125" s="44"/>
      <c r="E125" s="80">
        <v>0</v>
      </c>
      <c r="F125" s="81"/>
      <c r="G125" s="47"/>
      <c r="H125" s="76"/>
      <c r="I125" s="88"/>
      <c r="J125" s="89"/>
      <c r="K125" s="89"/>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row>
    <row r="126" spans="1:53" ht="15.75">
      <c r="A126" s="50"/>
      <c r="B126" s="52"/>
      <c r="C126" s="53" t="s">
        <v>265</v>
      </c>
      <c r="D126" s="49" t="s">
        <v>266</v>
      </c>
      <c r="E126" s="77">
        <f>IFERROR(AVERAGE(E127:E134),"")</f>
        <v>0</v>
      </c>
      <c r="F126" s="78"/>
      <c r="G126" s="79"/>
      <c r="H126" s="76"/>
      <c r="I126" s="88"/>
      <c r="J126" s="89"/>
      <c r="K126" s="89"/>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row>
    <row r="127" spans="1:53" ht="78.75">
      <c r="A127" s="54" t="s">
        <v>267</v>
      </c>
      <c r="B127" s="43">
        <v>94</v>
      </c>
      <c r="C127" s="55" t="s">
        <v>268</v>
      </c>
      <c r="D127" s="44"/>
      <c r="E127" s="80">
        <v>0</v>
      </c>
      <c r="F127" s="81"/>
      <c r="G127" s="47"/>
      <c r="H127" s="76"/>
      <c r="I127" s="88"/>
      <c r="J127" s="89"/>
      <c r="K127" s="89"/>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row>
    <row r="128" spans="1:53" ht="63">
      <c r="A128" s="54" t="s">
        <v>269</v>
      </c>
      <c r="B128" s="43">
        <v>95</v>
      </c>
      <c r="C128" s="55" t="s">
        <v>270</v>
      </c>
      <c r="D128" s="44"/>
      <c r="E128" s="80">
        <v>0</v>
      </c>
      <c r="F128" s="81"/>
      <c r="G128" s="47"/>
      <c r="H128" s="76"/>
      <c r="I128" s="88"/>
      <c r="J128" s="89"/>
      <c r="K128" s="89"/>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row>
    <row r="129" spans="1:53" ht="47.25">
      <c r="A129" s="54" t="s">
        <v>271</v>
      </c>
      <c r="B129" s="43">
        <v>96</v>
      </c>
      <c r="C129" s="55" t="s">
        <v>272</v>
      </c>
      <c r="D129" s="44"/>
      <c r="E129" s="80">
        <v>0</v>
      </c>
      <c r="F129" s="81"/>
      <c r="G129" s="47"/>
      <c r="H129" s="76"/>
      <c r="I129" s="88"/>
      <c r="J129" s="89"/>
      <c r="K129" s="89"/>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row>
    <row r="130" spans="1:53" ht="47.25">
      <c r="A130" s="54" t="s">
        <v>273</v>
      </c>
      <c r="B130" s="43">
        <v>97</v>
      </c>
      <c r="C130" s="43" t="s">
        <v>274</v>
      </c>
      <c r="D130" s="44"/>
      <c r="E130" s="80">
        <v>0</v>
      </c>
      <c r="F130" s="81"/>
      <c r="G130" s="47"/>
      <c r="H130" s="115"/>
      <c r="I130" s="88"/>
      <c r="J130" s="89"/>
      <c r="K130" s="89"/>
      <c r="L130" s="115"/>
      <c r="M130" s="115"/>
      <c r="N130" s="115"/>
      <c r="O130" s="115"/>
      <c r="P130" s="115"/>
      <c r="Q130" s="115"/>
      <c r="R130" s="115"/>
      <c r="S130" s="115"/>
      <c r="T130" s="115"/>
      <c r="U130" s="115"/>
      <c r="V130" s="115"/>
      <c r="W130" s="115"/>
      <c r="X130" s="115"/>
      <c r="Y130" s="115"/>
      <c r="Z130" s="115"/>
      <c r="AA130" s="115"/>
      <c r="AB130" s="115"/>
      <c r="AC130" s="115"/>
      <c r="AD130" s="115"/>
      <c r="AE130" s="115"/>
      <c r="AF130" s="115"/>
      <c r="AG130" s="115"/>
      <c r="AH130" s="115"/>
      <c r="AI130" s="115"/>
      <c r="AJ130" s="115"/>
      <c r="AK130" s="115"/>
      <c r="AL130" s="115"/>
      <c r="AM130" s="115"/>
      <c r="AN130" s="115"/>
      <c r="AO130" s="115"/>
      <c r="AP130" s="115"/>
      <c r="AQ130" s="115"/>
      <c r="AR130" s="115"/>
      <c r="AS130" s="115"/>
      <c r="AT130" s="115"/>
      <c r="AU130" s="115"/>
      <c r="AV130" s="115"/>
      <c r="AW130" s="115"/>
      <c r="AX130" s="115"/>
      <c r="AY130" s="115"/>
      <c r="AZ130" s="115"/>
      <c r="BA130" s="115"/>
    </row>
    <row r="131" spans="1:53" ht="63">
      <c r="A131" s="54" t="s">
        <v>275</v>
      </c>
      <c r="B131" s="43">
        <v>98</v>
      </c>
      <c r="C131" s="43" t="s">
        <v>276</v>
      </c>
      <c r="D131" s="44"/>
      <c r="E131" s="80">
        <v>0</v>
      </c>
      <c r="F131" s="81"/>
      <c r="G131" s="47"/>
      <c r="H131" s="76"/>
      <c r="I131" s="88"/>
      <c r="J131" s="89"/>
      <c r="K131" s="89"/>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row>
    <row r="132" spans="1:53" ht="78.75">
      <c r="A132" s="54" t="s">
        <v>277</v>
      </c>
      <c r="B132" s="43">
        <v>99</v>
      </c>
      <c r="C132" s="43" t="s">
        <v>278</v>
      </c>
      <c r="D132" s="44"/>
      <c r="E132" s="80">
        <v>0</v>
      </c>
      <c r="F132" s="81"/>
      <c r="G132" s="47"/>
      <c r="H132" s="76"/>
      <c r="I132" s="88"/>
      <c r="J132" s="89"/>
      <c r="K132" s="89"/>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row>
    <row r="133" spans="1:53" ht="47.25">
      <c r="A133" s="54" t="s">
        <v>279</v>
      </c>
      <c r="B133" s="43">
        <v>100</v>
      </c>
      <c r="C133" s="43" t="s">
        <v>280</v>
      </c>
      <c r="D133" s="44"/>
      <c r="E133" s="80">
        <v>0</v>
      </c>
      <c r="F133" s="81"/>
      <c r="G133" s="47"/>
      <c r="H133" s="76"/>
      <c r="I133" s="88"/>
      <c r="J133" s="89"/>
      <c r="K133" s="89"/>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row>
    <row r="134" spans="1:53" ht="63">
      <c r="A134" s="54" t="s">
        <v>281</v>
      </c>
      <c r="B134" s="43">
        <v>101</v>
      </c>
      <c r="C134" s="55" t="s">
        <v>282</v>
      </c>
      <c r="D134" s="44"/>
      <c r="E134" s="80">
        <v>0</v>
      </c>
      <c r="F134" s="81"/>
      <c r="G134" s="47"/>
      <c r="H134" s="76"/>
      <c r="I134" s="88"/>
      <c r="J134" s="89"/>
      <c r="K134" s="89"/>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row>
    <row r="135" spans="1:53" ht="42">
      <c r="A135" s="94"/>
      <c r="B135" s="95"/>
      <c r="C135" s="96" t="s">
        <v>283</v>
      </c>
      <c r="D135" s="97"/>
      <c r="E135" s="97"/>
      <c r="F135" s="97" t="e">
        <f>AVERAGE(E17:E134)</f>
        <v>#N/A</v>
      </c>
      <c r="G135" s="116"/>
      <c r="H135" s="76"/>
      <c r="I135" s="88"/>
      <c r="J135" s="89"/>
      <c r="K135" s="89"/>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row>
    <row r="136" spans="1:53" ht="15.75">
      <c r="A136" s="98"/>
      <c r="B136" s="99"/>
      <c r="C136" s="100"/>
      <c r="D136" s="16"/>
      <c r="E136" s="117"/>
      <c r="F136" s="102"/>
      <c r="G136" s="118"/>
      <c r="H136" s="76"/>
      <c r="I136" s="88"/>
      <c r="J136" s="89"/>
      <c r="K136" s="89"/>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row>
    <row r="137" spans="1:53" ht="15.75">
      <c r="A137" s="100"/>
      <c r="B137" s="101"/>
      <c r="C137" s="100"/>
      <c r="D137" s="102"/>
      <c r="E137" s="119"/>
      <c r="F137" s="102"/>
      <c r="G137" s="118"/>
      <c r="H137" s="76"/>
      <c r="I137" s="88"/>
      <c r="J137" s="89"/>
      <c r="K137" s="89"/>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row>
    <row r="138" spans="1:53" ht="15.75">
      <c r="A138" s="100"/>
      <c r="B138" s="101"/>
      <c r="C138" s="103"/>
      <c r="D138" s="102"/>
      <c r="E138" s="119"/>
      <c r="F138" s="106"/>
      <c r="G138" s="118"/>
      <c r="H138" s="76"/>
      <c r="I138" s="88"/>
      <c r="J138" s="89"/>
      <c r="K138" s="89"/>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row>
    <row r="139" spans="1:53" ht="15.75">
      <c r="A139" s="104"/>
      <c r="B139" s="105"/>
      <c r="C139" s="104"/>
      <c r="D139" s="102"/>
      <c r="E139" s="119"/>
      <c r="F139" s="106"/>
      <c r="G139" s="118"/>
      <c r="H139" s="76"/>
      <c r="I139" s="88"/>
      <c r="J139" s="89"/>
      <c r="K139" s="89"/>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row>
    <row r="140" spans="1:53" ht="15.75">
      <c r="A140" s="104"/>
      <c r="B140" s="105"/>
      <c r="C140" s="104"/>
      <c r="D140" s="106"/>
      <c r="E140" s="120"/>
      <c r="F140" s="102"/>
      <c r="G140" s="118"/>
      <c r="H140" s="76"/>
      <c r="I140" s="88"/>
      <c r="J140" s="89"/>
      <c r="K140" s="89"/>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row>
    <row r="141" spans="1:53" ht="15.75">
      <c r="A141" s="107"/>
      <c r="B141" s="107"/>
      <c r="C141" s="107"/>
      <c r="D141" s="106"/>
      <c r="E141" s="121"/>
      <c r="F141" s="102"/>
      <c r="G141" s="122"/>
      <c r="H141" s="85"/>
      <c r="I141" s="88"/>
      <c r="J141" s="89"/>
      <c r="K141" s="89"/>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5"/>
      <c r="AK141" s="85"/>
      <c r="AL141" s="85"/>
      <c r="AM141" s="85"/>
      <c r="AN141" s="85"/>
      <c r="AO141" s="85"/>
      <c r="AP141" s="85"/>
      <c r="AQ141" s="85"/>
      <c r="AR141" s="85"/>
      <c r="AS141" s="85"/>
      <c r="AT141" s="85"/>
      <c r="AU141" s="85"/>
      <c r="AV141" s="85"/>
      <c r="AW141" s="85"/>
      <c r="AX141" s="85"/>
      <c r="AY141" s="85"/>
      <c r="AZ141" s="85"/>
      <c r="BA141" s="85"/>
    </row>
    <row r="142" spans="1:53" ht="15.75">
      <c r="A142" s="108"/>
      <c r="B142" s="109"/>
      <c r="C142" s="108"/>
      <c r="D142" s="102"/>
      <c r="E142" s="121"/>
      <c r="F142" s="102"/>
      <c r="G142" s="118"/>
      <c r="H142" s="76"/>
      <c r="I142" s="88"/>
      <c r="J142" s="89"/>
      <c r="K142" s="89"/>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row>
    <row r="143" spans="1:53" ht="15.75">
      <c r="A143" s="108"/>
      <c r="B143" s="109"/>
      <c r="C143" s="108"/>
      <c r="D143" s="102"/>
      <c r="E143" s="121"/>
      <c r="F143" s="102"/>
      <c r="G143" s="118"/>
      <c r="H143" s="76"/>
      <c r="I143" s="88"/>
      <c r="J143" s="89"/>
      <c r="K143" s="89"/>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row>
    <row r="144" spans="1:53" ht="15.75">
      <c r="A144" s="108"/>
      <c r="B144" s="109"/>
      <c r="C144" s="108"/>
      <c r="D144" s="102"/>
      <c r="E144" s="121"/>
      <c r="F144" s="102"/>
      <c r="G144" s="118"/>
      <c r="H144" s="76"/>
      <c r="I144" s="88"/>
      <c r="J144" s="89"/>
      <c r="K144" s="89"/>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row>
    <row r="145" spans="1:53" ht="15.75">
      <c r="A145" s="108"/>
      <c r="B145" s="109"/>
      <c r="C145" s="108"/>
      <c r="D145" s="102"/>
      <c r="E145" s="121"/>
      <c r="F145" s="102"/>
      <c r="G145" s="118"/>
      <c r="H145" s="76"/>
      <c r="I145" s="88"/>
      <c r="J145" s="89"/>
      <c r="K145" s="89"/>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row>
    <row r="146" spans="1:53" ht="15.75">
      <c r="A146" s="108"/>
      <c r="B146" s="109"/>
      <c r="C146" s="108"/>
      <c r="D146" s="102"/>
      <c r="E146" s="121"/>
      <c r="F146" s="102"/>
      <c r="G146" s="118"/>
      <c r="H146" s="76"/>
      <c r="I146" s="88"/>
      <c r="J146" s="89"/>
      <c r="K146" s="89"/>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row>
    <row r="147" spans="1:53" ht="15.75">
      <c r="A147" s="108"/>
      <c r="B147" s="109"/>
      <c r="C147" s="108"/>
      <c r="D147" s="102"/>
      <c r="E147" s="121"/>
      <c r="F147" s="102"/>
      <c r="G147" s="118"/>
      <c r="H147" s="76"/>
      <c r="I147" s="88"/>
      <c r="J147" s="89"/>
      <c r="K147" s="89"/>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row>
    <row r="148" spans="1:53" ht="15.75">
      <c r="A148" s="108"/>
      <c r="B148" s="109"/>
      <c r="C148" s="108"/>
      <c r="D148" s="102"/>
      <c r="E148" s="121"/>
      <c r="F148" s="102"/>
      <c r="G148" s="118"/>
      <c r="H148" s="76"/>
      <c r="I148" s="88"/>
      <c r="J148" s="89"/>
      <c r="K148" s="89"/>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row>
    <row r="149" spans="1:53" ht="15.75">
      <c r="A149" s="108"/>
      <c r="B149" s="109"/>
      <c r="C149" s="108"/>
      <c r="D149" s="102"/>
      <c r="E149" s="121"/>
      <c r="F149" s="102"/>
      <c r="G149" s="118"/>
      <c r="H149" s="76"/>
      <c r="I149" s="88"/>
      <c r="J149" s="89"/>
      <c r="K149" s="89"/>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row>
    <row r="150" spans="1:53" ht="15.75">
      <c r="A150" s="108"/>
      <c r="B150" s="109"/>
      <c r="C150" s="108"/>
      <c r="D150" s="102"/>
      <c r="E150" s="121"/>
      <c r="F150" s="102"/>
      <c r="G150" s="118"/>
      <c r="H150" s="76"/>
      <c r="I150" s="88"/>
      <c r="J150" s="89"/>
      <c r="K150" s="89"/>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row>
    <row r="151" spans="1:53" ht="15.75">
      <c r="A151" s="108"/>
      <c r="B151" s="109"/>
      <c r="C151" s="108"/>
      <c r="D151" s="102"/>
      <c r="E151" s="121"/>
      <c r="F151" s="102"/>
      <c r="G151" s="118"/>
      <c r="H151" s="76"/>
      <c r="I151" s="88"/>
      <c r="J151" s="89"/>
      <c r="K151" s="89"/>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row>
    <row r="152" spans="1:53" ht="15.75">
      <c r="A152" s="108"/>
      <c r="B152" s="109"/>
      <c r="C152" s="108"/>
      <c r="D152" s="102"/>
      <c r="E152" s="121"/>
      <c r="F152" s="102"/>
      <c r="G152" s="118"/>
      <c r="H152" s="76"/>
      <c r="I152" s="88"/>
      <c r="J152" s="89"/>
      <c r="K152" s="89"/>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row>
    <row r="153" spans="1:53" ht="15.75">
      <c r="A153" s="108"/>
      <c r="B153" s="109"/>
      <c r="C153" s="108"/>
      <c r="D153" s="102"/>
      <c r="E153" s="121"/>
      <c r="F153" s="102"/>
      <c r="G153" s="118"/>
      <c r="H153" s="76"/>
      <c r="I153" s="88"/>
      <c r="J153" s="89"/>
      <c r="K153" s="89"/>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row>
    <row r="154" spans="1:53" ht="15.75">
      <c r="A154" s="108"/>
      <c r="B154" s="109"/>
      <c r="C154" s="108"/>
      <c r="D154" s="102"/>
      <c r="E154" s="121"/>
      <c r="F154" s="102"/>
      <c r="G154" s="118"/>
      <c r="H154" s="76"/>
      <c r="I154" s="88"/>
      <c r="J154" s="89"/>
      <c r="K154" s="89"/>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row>
    <row r="155" spans="1:53" ht="15.75">
      <c r="A155" s="108"/>
      <c r="B155" s="109"/>
      <c r="C155" s="108"/>
      <c r="D155" s="102"/>
      <c r="E155" s="121"/>
      <c r="F155" s="102"/>
      <c r="G155" s="118"/>
      <c r="H155" s="76"/>
      <c r="I155" s="88"/>
      <c r="J155" s="89"/>
      <c r="K155" s="89"/>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row>
    <row r="156" spans="1:53" ht="15.75">
      <c r="A156" s="108"/>
      <c r="B156" s="109"/>
      <c r="C156" s="108"/>
      <c r="D156" s="102"/>
      <c r="E156" s="121"/>
      <c r="F156" s="102"/>
      <c r="G156" s="118"/>
      <c r="H156" s="76"/>
      <c r="I156" s="88"/>
      <c r="J156" s="89"/>
      <c r="K156" s="89"/>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row>
    <row r="157" spans="1:53" ht="15.75">
      <c r="A157" s="108"/>
      <c r="B157" s="109"/>
      <c r="C157" s="108"/>
      <c r="D157" s="102"/>
      <c r="E157" s="121"/>
      <c r="F157" s="102"/>
      <c r="G157" s="118"/>
      <c r="H157" s="76"/>
      <c r="I157" s="88"/>
      <c r="J157" s="89"/>
      <c r="K157" s="89"/>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row>
    <row r="158" spans="1:53" ht="15.75">
      <c r="A158" s="108"/>
      <c r="B158" s="109"/>
      <c r="C158" s="108"/>
      <c r="D158" s="102"/>
      <c r="E158" s="121"/>
      <c r="F158" s="102"/>
      <c r="G158" s="118"/>
      <c r="H158" s="76"/>
      <c r="I158" s="88"/>
      <c r="J158" s="89"/>
      <c r="K158" s="89"/>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row>
    <row r="159" spans="1:53" ht="15.75">
      <c r="A159" s="108"/>
      <c r="B159" s="109"/>
      <c r="C159" s="108"/>
      <c r="D159" s="102"/>
      <c r="E159" s="121"/>
      <c r="F159" s="102"/>
      <c r="G159" s="118"/>
      <c r="H159" s="76"/>
      <c r="I159" s="88"/>
      <c r="J159" s="89"/>
      <c r="K159" s="89"/>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row>
    <row r="160" spans="1:53" ht="15.75">
      <c r="A160" s="108"/>
      <c r="B160" s="109"/>
      <c r="C160" s="108"/>
      <c r="D160" s="102"/>
      <c r="E160" s="121"/>
      <c r="F160" s="102"/>
      <c r="G160" s="118"/>
      <c r="H160" s="76"/>
      <c r="I160" s="88"/>
      <c r="J160" s="89"/>
      <c r="K160" s="89"/>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row>
    <row r="161" spans="1:53" ht="15.75">
      <c r="A161" s="108"/>
      <c r="B161" s="109"/>
      <c r="C161" s="108"/>
      <c r="D161" s="102"/>
      <c r="E161" s="121"/>
      <c r="F161" s="102"/>
      <c r="G161" s="118"/>
      <c r="H161" s="76"/>
      <c r="I161" s="88"/>
      <c r="J161" s="89"/>
      <c r="K161" s="89"/>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row>
    <row r="162" spans="1:53" ht="15.75">
      <c r="A162" s="108"/>
      <c r="B162" s="109"/>
      <c r="C162" s="108"/>
      <c r="D162" s="102"/>
      <c r="E162" s="121"/>
      <c r="F162" s="102"/>
      <c r="G162" s="118"/>
      <c r="H162" s="76"/>
      <c r="I162" s="88"/>
      <c r="J162" s="88"/>
      <c r="K162" s="89"/>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row>
    <row r="163" spans="1:53" ht="15.75">
      <c r="A163" s="108"/>
      <c r="B163" s="109"/>
      <c r="C163" s="108"/>
      <c r="D163" s="102"/>
      <c r="E163" s="121"/>
      <c r="F163" s="102"/>
      <c r="G163" s="118"/>
      <c r="H163" s="123"/>
      <c r="I163" s="88"/>
      <c r="J163" s="89"/>
      <c r="K163" s="89"/>
      <c r="L163" s="123"/>
      <c r="M163" s="123"/>
      <c r="N163" s="123"/>
      <c r="O163" s="123"/>
      <c r="P163" s="123"/>
      <c r="Q163" s="123"/>
      <c r="R163" s="123"/>
      <c r="S163" s="123"/>
      <c r="T163" s="123"/>
      <c r="U163" s="123"/>
      <c r="V163" s="123"/>
      <c r="W163" s="123"/>
      <c r="X163" s="123"/>
      <c r="Y163" s="123"/>
      <c r="Z163" s="123"/>
      <c r="AA163" s="123"/>
      <c r="AB163" s="123"/>
      <c r="AC163" s="123"/>
      <c r="AD163" s="123"/>
      <c r="AE163" s="123"/>
      <c r="AF163" s="123"/>
      <c r="AG163" s="123"/>
      <c r="AH163" s="123"/>
      <c r="AI163" s="123"/>
      <c r="AJ163" s="123"/>
      <c r="AK163" s="123"/>
      <c r="AL163" s="123"/>
      <c r="AM163" s="123"/>
      <c r="AN163" s="123"/>
      <c r="AO163" s="123"/>
      <c r="AP163" s="123"/>
      <c r="AQ163" s="123"/>
      <c r="AR163" s="123"/>
      <c r="AS163" s="123"/>
      <c r="AT163" s="123"/>
      <c r="AU163" s="123"/>
      <c r="AV163" s="123"/>
      <c r="AW163" s="123"/>
      <c r="AX163" s="123"/>
      <c r="AY163" s="123"/>
      <c r="AZ163" s="123"/>
      <c r="BA163" s="123"/>
    </row>
    <row r="164" spans="1:53" ht="15.75">
      <c r="A164" s="108"/>
      <c r="B164" s="109"/>
      <c r="C164" s="108"/>
      <c r="D164" s="102"/>
      <c r="E164" s="121"/>
      <c r="F164" s="102"/>
      <c r="G164" s="118"/>
      <c r="H164" s="123"/>
      <c r="I164" s="88"/>
      <c r="J164" s="89"/>
      <c r="K164" s="89"/>
      <c r="L164" s="123"/>
      <c r="M164" s="123"/>
      <c r="N164" s="123"/>
      <c r="O164" s="123"/>
      <c r="P164" s="123"/>
      <c r="Q164" s="123"/>
      <c r="R164" s="123"/>
      <c r="S164" s="123"/>
      <c r="T164" s="123"/>
      <c r="U164" s="123"/>
      <c r="V164" s="123"/>
      <c r="W164" s="123"/>
      <c r="X164" s="123"/>
      <c r="Y164" s="123"/>
      <c r="Z164" s="123"/>
      <c r="AA164" s="123"/>
      <c r="AB164" s="123"/>
      <c r="AC164" s="123"/>
      <c r="AD164" s="123"/>
      <c r="AE164" s="123"/>
      <c r="AF164" s="123"/>
      <c r="AG164" s="123"/>
      <c r="AH164" s="123"/>
      <c r="AI164" s="123"/>
      <c r="AJ164" s="123"/>
      <c r="AK164" s="123"/>
      <c r="AL164" s="123"/>
      <c r="AM164" s="123"/>
      <c r="AN164" s="123"/>
      <c r="AO164" s="123"/>
      <c r="AP164" s="123"/>
      <c r="AQ164" s="123"/>
      <c r="AR164" s="123"/>
      <c r="AS164" s="123"/>
      <c r="AT164" s="123"/>
      <c r="AU164" s="123"/>
      <c r="AV164" s="123"/>
      <c r="AW164" s="123"/>
      <c r="AX164" s="123"/>
      <c r="AY164" s="123"/>
      <c r="AZ164" s="123"/>
      <c r="BA164" s="123"/>
    </row>
    <row r="165" spans="1:53" ht="15.75">
      <c r="A165" s="108"/>
      <c r="B165" s="109"/>
      <c r="C165" s="108"/>
      <c r="D165" s="102"/>
      <c r="E165" s="121"/>
      <c r="F165" s="102"/>
      <c r="G165" s="118"/>
      <c r="H165" s="123"/>
      <c r="I165" s="88"/>
      <c r="J165" s="89"/>
      <c r="K165" s="89"/>
      <c r="L165" s="123"/>
      <c r="M165" s="123"/>
      <c r="N165" s="123"/>
      <c r="O165" s="123"/>
      <c r="P165" s="123"/>
      <c r="Q165" s="123"/>
      <c r="R165" s="123"/>
      <c r="S165" s="123"/>
      <c r="T165" s="123"/>
      <c r="U165" s="123"/>
      <c r="V165" s="123"/>
      <c r="W165" s="123"/>
      <c r="X165" s="123"/>
      <c r="Y165" s="123"/>
      <c r="Z165" s="123"/>
      <c r="AA165" s="123"/>
      <c r="AB165" s="123"/>
      <c r="AC165" s="123"/>
      <c r="AD165" s="123"/>
      <c r="AE165" s="123"/>
      <c r="AF165" s="123"/>
      <c r="AG165" s="123"/>
      <c r="AH165" s="123"/>
      <c r="AI165" s="123"/>
      <c r="AJ165" s="123"/>
      <c r="AK165" s="123"/>
      <c r="AL165" s="123"/>
      <c r="AM165" s="123"/>
      <c r="AN165" s="123"/>
      <c r="AO165" s="123"/>
      <c r="AP165" s="123"/>
      <c r="AQ165" s="123"/>
      <c r="AR165" s="123"/>
      <c r="AS165" s="123"/>
      <c r="AT165" s="123"/>
      <c r="AU165" s="123"/>
      <c r="AV165" s="123"/>
      <c r="AW165" s="123"/>
      <c r="AX165" s="123"/>
      <c r="AY165" s="123"/>
      <c r="AZ165" s="123"/>
      <c r="BA165" s="123"/>
    </row>
    <row r="166" spans="1:53" ht="15.75">
      <c r="A166" s="108"/>
      <c r="B166" s="109"/>
      <c r="C166" s="108"/>
      <c r="D166" s="102"/>
      <c r="E166" s="121"/>
      <c r="F166" s="102"/>
      <c r="G166" s="118"/>
      <c r="H166" s="123"/>
      <c r="I166" s="88"/>
      <c r="J166" s="89"/>
      <c r="K166" s="89"/>
      <c r="L166" s="123"/>
      <c r="M166" s="123"/>
      <c r="N166" s="123"/>
      <c r="O166" s="123"/>
      <c r="P166" s="123"/>
      <c r="Q166" s="123"/>
      <c r="R166" s="123"/>
      <c r="S166" s="123"/>
      <c r="T166" s="123"/>
      <c r="U166" s="123"/>
      <c r="V166" s="123"/>
      <c r="W166" s="123"/>
      <c r="X166" s="123"/>
      <c r="Y166" s="123"/>
      <c r="Z166" s="123"/>
      <c r="AA166" s="123"/>
      <c r="AB166" s="123"/>
      <c r="AC166" s="123"/>
      <c r="AD166" s="123"/>
      <c r="AE166" s="123"/>
      <c r="AF166" s="123"/>
      <c r="AG166" s="123"/>
      <c r="AH166" s="123"/>
      <c r="AI166" s="123"/>
      <c r="AJ166" s="123"/>
      <c r="AK166" s="123"/>
      <c r="AL166" s="123"/>
      <c r="AM166" s="123"/>
      <c r="AN166" s="123"/>
      <c r="AO166" s="123"/>
      <c r="AP166" s="123"/>
      <c r="AQ166" s="123"/>
      <c r="AR166" s="123"/>
      <c r="AS166" s="123"/>
      <c r="AT166" s="123"/>
      <c r="AU166" s="123"/>
      <c r="AV166" s="123"/>
      <c r="AW166" s="123"/>
      <c r="AX166" s="123"/>
      <c r="AY166" s="123"/>
      <c r="AZ166" s="123"/>
      <c r="BA166" s="123"/>
    </row>
    <row r="167" spans="1:53" ht="15.75">
      <c r="A167" s="108"/>
      <c r="B167" s="109"/>
      <c r="C167" s="108"/>
      <c r="D167" s="102"/>
      <c r="E167" s="121"/>
      <c r="F167" s="102"/>
      <c r="G167" s="118"/>
      <c r="H167" s="123"/>
      <c r="I167" s="88"/>
      <c r="J167" s="89"/>
      <c r="K167" s="89"/>
      <c r="L167" s="123"/>
      <c r="M167" s="123"/>
      <c r="N167" s="123"/>
      <c r="O167" s="123"/>
      <c r="P167" s="123"/>
      <c r="Q167" s="123"/>
      <c r="R167" s="123"/>
      <c r="S167" s="123"/>
      <c r="T167" s="123"/>
      <c r="U167" s="123"/>
      <c r="V167" s="123"/>
      <c r="W167" s="123"/>
      <c r="X167" s="123"/>
      <c r="Y167" s="123"/>
      <c r="Z167" s="123"/>
      <c r="AA167" s="123"/>
      <c r="AB167" s="123"/>
      <c r="AC167" s="123"/>
      <c r="AD167" s="123"/>
      <c r="AE167" s="123"/>
      <c r="AF167" s="123"/>
      <c r="AG167" s="123"/>
      <c r="AH167" s="123"/>
      <c r="AI167" s="123"/>
      <c r="AJ167" s="123"/>
      <c r="AK167" s="123"/>
      <c r="AL167" s="123"/>
      <c r="AM167" s="123"/>
      <c r="AN167" s="123"/>
      <c r="AO167" s="123"/>
      <c r="AP167" s="123"/>
      <c r="AQ167" s="123"/>
      <c r="AR167" s="123"/>
      <c r="AS167" s="123"/>
      <c r="AT167" s="123"/>
      <c r="AU167" s="123"/>
      <c r="AV167" s="123"/>
      <c r="AW167" s="123"/>
      <c r="AX167" s="123"/>
      <c r="AY167" s="123"/>
      <c r="AZ167" s="123"/>
      <c r="BA167" s="123"/>
    </row>
    <row r="168" spans="1:53" ht="15.75">
      <c r="A168" s="108"/>
      <c r="B168" s="109"/>
      <c r="C168" s="108"/>
      <c r="D168" s="102"/>
      <c r="E168" s="121"/>
      <c r="F168" s="102"/>
      <c r="G168" s="118"/>
      <c r="H168" s="123"/>
      <c r="I168" s="88"/>
      <c r="J168" s="89"/>
      <c r="K168" s="89"/>
      <c r="L168" s="123"/>
      <c r="M168" s="123"/>
      <c r="N168" s="123"/>
      <c r="O168" s="123"/>
      <c r="P168" s="123"/>
      <c r="Q168" s="123"/>
      <c r="R168" s="123"/>
      <c r="S168" s="123"/>
      <c r="T168" s="123"/>
      <c r="U168" s="123"/>
      <c r="V168" s="123"/>
      <c r="W168" s="123"/>
      <c r="X168" s="123"/>
      <c r="Y168" s="123"/>
      <c r="Z168" s="123"/>
      <c r="AA168" s="123"/>
      <c r="AB168" s="123"/>
      <c r="AC168" s="123"/>
      <c r="AD168" s="123"/>
      <c r="AE168" s="123"/>
      <c r="AF168" s="123"/>
      <c r="AG168" s="123"/>
      <c r="AH168" s="123"/>
      <c r="AI168" s="123"/>
      <c r="AJ168" s="123"/>
      <c r="AK168" s="123"/>
      <c r="AL168" s="123"/>
      <c r="AM168" s="123"/>
      <c r="AN168" s="123"/>
      <c r="AO168" s="123"/>
      <c r="AP168" s="123"/>
      <c r="AQ168" s="123"/>
      <c r="AR168" s="123"/>
      <c r="AS168" s="123"/>
      <c r="AT168" s="123"/>
      <c r="AU168" s="123"/>
      <c r="AV168" s="123"/>
      <c r="AW168" s="123"/>
      <c r="AX168" s="123"/>
      <c r="AY168" s="123"/>
      <c r="AZ168" s="123"/>
      <c r="BA168" s="123"/>
    </row>
    <row r="169" spans="1:53" ht="15.75">
      <c r="A169" s="108"/>
      <c r="B169" s="109"/>
      <c r="C169" s="108"/>
      <c r="D169" s="102"/>
      <c r="E169" s="121"/>
      <c r="F169" s="102"/>
      <c r="G169" s="118"/>
      <c r="H169" s="123"/>
      <c r="I169" s="88"/>
      <c r="J169" s="89"/>
      <c r="K169" s="89"/>
      <c r="L169" s="123"/>
      <c r="M169" s="123"/>
      <c r="N169" s="123"/>
      <c r="O169" s="123"/>
      <c r="P169" s="123"/>
      <c r="Q169" s="123"/>
      <c r="R169" s="123"/>
      <c r="S169" s="123"/>
      <c r="T169" s="123"/>
      <c r="U169" s="123"/>
      <c r="V169" s="123"/>
      <c r="W169" s="123"/>
      <c r="X169" s="123"/>
      <c r="Y169" s="123"/>
      <c r="Z169" s="123"/>
      <c r="AA169" s="123"/>
      <c r="AB169" s="123"/>
      <c r="AC169" s="123"/>
      <c r="AD169" s="123"/>
      <c r="AE169" s="123"/>
      <c r="AF169" s="123"/>
      <c r="AG169" s="123"/>
      <c r="AH169" s="123"/>
      <c r="AI169" s="123"/>
      <c r="AJ169" s="123"/>
      <c r="AK169" s="123"/>
      <c r="AL169" s="123"/>
      <c r="AM169" s="123"/>
      <c r="AN169" s="123"/>
      <c r="AO169" s="123"/>
      <c r="AP169" s="123"/>
      <c r="AQ169" s="123"/>
      <c r="AR169" s="123"/>
      <c r="AS169" s="123"/>
      <c r="AT169" s="123"/>
      <c r="AU169" s="123"/>
      <c r="AV169" s="123"/>
      <c r="AW169" s="123"/>
      <c r="AX169" s="123"/>
      <c r="AY169" s="123"/>
      <c r="AZ169" s="123"/>
      <c r="BA169" s="123"/>
    </row>
    <row r="170" spans="1:53" ht="15.75">
      <c r="A170" s="108"/>
      <c r="B170" s="109"/>
      <c r="C170" s="108"/>
      <c r="D170" s="102"/>
      <c r="E170" s="121"/>
      <c r="F170" s="102"/>
      <c r="G170" s="118"/>
      <c r="H170" s="123"/>
      <c r="I170" s="88"/>
      <c r="J170" s="89"/>
      <c r="K170" s="89"/>
      <c r="L170" s="123"/>
      <c r="M170" s="123"/>
      <c r="N170" s="123"/>
      <c r="O170" s="123"/>
      <c r="P170" s="123"/>
      <c r="Q170" s="123"/>
      <c r="R170" s="123"/>
      <c r="S170" s="123"/>
      <c r="T170" s="123"/>
      <c r="U170" s="123"/>
      <c r="V170" s="123"/>
      <c r="W170" s="123"/>
      <c r="X170" s="123"/>
      <c r="Y170" s="123"/>
      <c r="Z170" s="123"/>
      <c r="AA170" s="123"/>
      <c r="AB170" s="123"/>
      <c r="AC170" s="123"/>
      <c r="AD170" s="123"/>
      <c r="AE170" s="123"/>
      <c r="AF170" s="123"/>
      <c r="AG170" s="123"/>
      <c r="AH170" s="123"/>
      <c r="AI170" s="123"/>
      <c r="AJ170" s="123"/>
      <c r="AK170" s="123"/>
      <c r="AL170" s="123"/>
      <c r="AM170" s="123"/>
      <c r="AN170" s="123"/>
      <c r="AO170" s="123"/>
      <c r="AP170" s="123"/>
      <c r="AQ170" s="123"/>
      <c r="AR170" s="123"/>
      <c r="AS170" s="123"/>
      <c r="AT170" s="123"/>
      <c r="AU170" s="123"/>
      <c r="AV170" s="123"/>
      <c r="AW170" s="123"/>
      <c r="AX170" s="123"/>
      <c r="AY170" s="123"/>
      <c r="AZ170" s="123"/>
      <c r="BA170" s="123"/>
    </row>
    <row r="171" spans="1:53" ht="15.75">
      <c r="A171" s="108"/>
      <c r="B171" s="109"/>
      <c r="C171" s="108"/>
      <c r="D171" s="102"/>
      <c r="E171" s="121"/>
      <c r="F171" s="102"/>
      <c r="G171" s="118"/>
      <c r="H171" s="123"/>
      <c r="I171" s="88"/>
      <c r="J171" s="89"/>
      <c r="K171" s="89"/>
      <c r="L171" s="123"/>
      <c r="M171" s="123"/>
      <c r="N171" s="123"/>
      <c r="O171" s="123"/>
      <c r="P171" s="123"/>
      <c r="Q171" s="123"/>
      <c r="R171" s="123"/>
      <c r="S171" s="123"/>
      <c r="T171" s="123"/>
      <c r="U171" s="123"/>
      <c r="V171" s="123"/>
      <c r="W171" s="123"/>
      <c r="X171" s="123"/>
      <c r="Y171" s="123"/>
      <c r="Z171" s="123"/>
      <c r="AA171" s="123"/>
      <c r="AB171" s="123"/>
      <c r="AC171" s="123"/>
      <c r="AD171" s="123"/>
      <c r="AE171" s="123"/>
      <c r="AF171" s="123"/>
      <c r="AG171" s="123"/>
      <c r="AH171" s="123"/>
      <c r="AI171" s="123"/>
      <c r="AJ171" s="123"/>
      <c r="AK171" s="123"/>
      <c r="AL171" s="123"/>
      <c r="AM171" s="123"/>
      <c r="AN171" s="123"/>
      <c r="AO171" s="123"/>
      <c r="AP171" s="123"/>
      <c r="AQ171" s="123"/>
      <c r="AR171" s="123"/>
      <c r="AS171" s="123"/>
      <c r="AT171" s="123"/>
      <c r="AU171" s="123"/>
      <c r="AV171" s="123"/>
      <c r="AW171" s="123"/>
      <c r="AX171" s="123"/>
      <c r="AY171" s="123"/>
      <c r="AZ171" s="123"/>
      <c r="BA171" s="123"/>
    </row>
    <row r="172" spans="1:53" ht="15.75">
      <c r="A172" s="108"/>
      <c r="B172" s="109"/>
      <c r="C172" s="108"/>
      <c r="D172" s="102"/>
      <c r="E172" s="121"/>
      <c r="F172" s="102"/>
      <c r="G172" s="118"/>
      <c r="H172" s="123"/>
      <c r="I172" s="88"/>
      <c r="J172" s="89"/>
      <c r="K172" s="89"/>
      <c r="L172" s="123"/>
      <c r="M172" s="123"/>
      <c r="N172" s="123"/>
      <c r="O172" s="123"/>
      <c r="P172" s="123"/>
      <c r="Q172" s="123"/>
      <c r="R172" s="123"/>
      <c r="S172" s="123"/>
      <c r="T172" s="123"/>
      <c r="U172" s="123"/>
      <c r="V172" s="123"/>
      <c r="W172" s="123"/>
      <c r="X172" s="123"/>
      <c r="Y172" s="123"/>
      <c r="Z172" s="123"/>
      <c r="AA172" s="123"/>
      <c r="AB172" s="123"/>
      <c r="AC172" s="123"/>
      <c r="AD172" s="123"/>
      <c r="AE172" s="123"/>
      <c r="AF172" s="123"/>
      <c r="AG172" s="123"/>
      <c r="AH172" s="123"/>
      <c r="AI172" s="123"/>
      <c r="AJ172" s="123"/>
      <c r="AK172" s="123"/>
      <c r="AL172" s="123"/>
      <c r="AM172" s="123"/>
      <c r="AN172" s="123"/>
      <c r="AO172" s="123"/>
      <c r="AP172" s="123"/>
      <c r="AQ172" s="123"/>
      <c r="AR172" s="123"/>
      <c r="AS172" s="123"/>
      <c r="AT172" s="123"/>
      <c r="AU172" s="123"/>
      <c r="AV172" s="123"/>
      <c r="AW172" s="123"/>
      <c r="AX172" s="123"/>
      <c r="AY172" s="123"/>
      <c r="AZ172" s="123"/>
      <c r="BA172" s="123"/>
    </row>
    <row r="173" spans="1:53" ht="15.75">
      <c r="A173" s="108"/>
      <c r="B173" s="109"/>
      <c r="C173" s="108"/>
      <c r="D173" s="102"/>
      <c r="E173" s="121"/>
      <c r="F173" s="102"/>
      <c r="G173" s="118"/>
      <c r="H173" s="123"/>
      <c r="I173" s="88"/>
      <c r="J173" s="89"/>
      <c r="K173" s="89"/>
      <c r="L173" s="123"/>
      <c r="M173" s="123"/>
      <c r="N173" s="123"/>
      <c r="O173" s="123"/>
      <c r="P173" s="123"/>
      <c r="Q173" s="123"/>
      <c r="R173" s="123"/>
      <c r="S173" s="123"/>
      <c r="T173" s="123"/>
      <c r="U173" s="123"/>
      <c r="V173" s="123"/>
      <c r="W173" s="123"/>
      <c r="X173" s="123"/>
      <c r="Y173" s="123"/>
      <c r="Z173" s="123"/>
      <c r="AA173" s="123"/>
      <c r="AB173" s="123"/>
      <c r="AC173" s="123"/>
      <c r="AD173" s="123"/>
      <c r="AE173" s="123"/>
      <c r="AF173" s="123"/>
      <c r="AG173" s="123"/>
      <c r="AH173" s="123"/>
      <c r="AI173" s="123"/>
      <c r="AJ173" s="123"/>
      <c r="AK173" s="123"/>
      <c r="AL173" s="123"/>
      <c r="AM173" s="123"/>
      <c r="AN173" s="123"/>
      <c r="AO173" s="123"/>
      <c r="AP173" s="123"/>
      <c r="AQ173" s="123"/>
      <c r="AR173" s="123"/>
      <c r="AS173" s="123"/>
      <c r="AT173" s="123"/>
      <c r="AU173" s="123"/>
      <c r="AV173" s="123"/>
      <c r="AW173" s="123"/>
      <c r="AX173" s="123"/>
      <c r="AY173" s="123"/>
      <c r="AZ173" s="123"/>
      <c r="BA173" s="123"/>
    </row>
    <row r="174" spans="1:53" ht="15.75">
      <c r="A174" s="108"/>
      <c r="B174" s="109"/>
      <c r="C174" s="108"/>
      <c r="D174" s="102"/>
      <c r="E174" s="124"/>
      <c r="F174" s="102"/>
      <c r="G174" s="118"/>
      <c r="H174" s="123"/>
      <c r="I174" s="88"/>
      <c r="J174" s="89"/>
      <c r="K174" s="89"/>
      <c r="L174" s="123"/>
      <c r="M174" s="123"/>
      <c r="N174" s="123"/>
      <c r="O174" s="123"/>
      <c r="P174" s="123"/>
      <c r="Q174" s="123"/>
      <c r="R174" s="123"/>
      <c r="S174" s="123"/>
      <c r="T174" s="123"/>
      <c r="U174" s="123"/>
      <c r="V174" s="123"/>
      <c r="W174" s="123"/>
      <c r="X174" s="123"/>
      <c r="Y174" s="123"/>
      <c r="Z174" s="123"/>
      <c r="AA174" s="123"/>
      <c r="AB174" s="123"/>
      <c r="AC174" s="123"/>
      <c r="AD174" s="123"/>
      <c r="AE174" s="123"/>
      <c r="AF174" s="123"/>
      <c r="AG174" s="123"/>
      <c r="AH174" s="123"/>
      <c r="AI174" s="123"/>
      <c r="AJ174" s="123"/>
      <c r="AK174" s="123"/>
      <c r="AL174" s="123"/>
      <c r="AM174" s="123"/>
      <c r="AN174" s="123"/>
      <c r="AO174" s="123"/>
      <c r="AP174" s="123"/>
      <c r="AQ174" s="123"/>
      <c r="AR174" s="123"/>
      <c r="AS174" s="123"/>
      <c r="AT174" s="123"/>
      <c r="AU174" s="123"/>
      <c r="AV174" s="123"/>
      <c r="AW174" s="123"/>
      <c r="AX174" s="123"/>
      <c r="AY174" s="123"/>
      <c r="AZ174" s="123"/>
      <c r="BA174" s="123"/>
    </row>
    <row r="175" spans="1:53" ht="15.75">
      <c r="A175" s="110"/>
      <c r="B175" s="111"/>
      <c r="C175" s="110"/>
      <c r="D175" s="102"/>
      <c r="E175" s="124"/>
      <c r="F175" s="102"/>
      <c r="G175" s="118"/>
      <c r="H175" s="123"/>
      <c r="I175" s="88"/>
      <c r="J175" s="89"/>
      <c r="K175" s="89"/>
      <c r="L175" s="123"/>
      <c r="M175" s="123"/>
      <c r="N175" s="123"/>
      <c r="O175" s="123"/>
      <c r="P175" s="123"/>
      <c r="Q175" s="123"/>
      <c r="R175" s="123"/>
      <c r="S175" s="123"/>
      <c r="T175" s="123"/>
      <c r="U175" s="123"/>
      <c r="V175" s="123"/>
      <c r="W175" s="123"/>
      <c r="X175" s="123"/>
      <c r="Y175" s="123"/>
      <c r="Z175" s="123"/>
      <c r="AA175" s="123"/>
      <c r="AB175" s="123"/>
      <c r="AC175" s="123"/>
      <c r="AD175" s="123"/>
      <c r="AE175" s="123"/>
      <c r="AF175" s="123"/>
      <c r="AG175" s="123"/>
      <c r="AH175" s="123"/>
      <c r="AI175" s="123"/>
      <c r="AJ175" s="123"/>
      <c r="AK175" s="123"/>
      <c r="AL175" s="123"/>
      <c r="AM175" s="123"/>
      <c r="AN175" s="123"/>
      <c r="AO175" s="123"/>
      <c r="AP175" s="123"/>
      <c r="AQ175" s="123"/>
      <c r="AR175" s="123"/>
      <c r="AS175" s="123"/>
      <c r="AT175" s="123"/>
      <c r="AU175" s="123"/>
      <c r="AV175" s="123"/>
      <c r="AW175" s="123"/>
      <c r="AX175" s="123"/>
      <c r="AY175" s="123"/>
      <c r="AZ175" s="123"/>
      <c r="BA175" s="123"/>
    </row>
    <row r="176" spans="1:53" ht="15.75">
      <c r="A176" s="110"/>
      <c r="B176" s="111"/>
      <c r="C176" s="110"/>
      <c r="D176" s="102"/>
      <c r="E176" s="124"/>
      <c r="F176" s="102"/>
      <c r="G176" s="118"/>
      <c r="H176" s="123"/>
      <c r="I176" s="88"/>
      <c r="J176" s="89"/>
      <c r="K176" s="89"/>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row>
    <row r="177" spans="1:53" ht="15.75">
      <c r="A177" s="110"/>
      <c r="B177" s="111"/>
      <c r="C177" s="110"/>
      <c r="D177" s="102"/>
      <c r="E177" s="124"/>
      <c r="F177" s="102"/>
      <c r="G177" s="118"/>
      <c r="H177" s="123"/>
      <c r="I177" s="88"/>
      <c r="J177" s="89"/>
      <c r="K177" s="89"/>
      <c r="L177" s="123"/>
      <c r="M177" s="123"/>
      <c r="N177" s="123"/>
      <c r="O177" s="123"/>
      <c r="P177" s="123"/>
      <c r="Q177" s="123"/>
      <c r="R177" s="123"/>
      <c r="S177" s="123"/>
      <c r="T177" s="123"/>
      <c r="U177" s="123"/>
      <c r="V177" s="123"/>
      <c r="W177" s="123"/>
      <c r="X177" s="123"/>
      <c r="Y177" s="123"/>
      <c r="Z177" s="123"/>
      <c r="AA177" s="123"/>
      <c r="AB177" s="123"/>
      <c r="AC177" s="123"/>
      <c r="AD177" s="123"/>
      <c r="AE177" s="123"/>
      <c r="AF177" s="123"/>
      <c r="AG177" s="123"/>
      <c r="AH177" s="123"/>
      <c r="AI177" s="123"/>
      <c r="AJ177" s="123"/>
      <c r="AK177" s="123"/>
      <c r="AL177" s="123"/>
      <c r="AM177" s="123"/>
      <c r="AN177" s="123"/>
      <c r="AO177" s="123"/>
      <c r="AP177" s="123"/>
      <c r="AQ177" s="123"/>
      <c r="AR177" s="123"/>
      <c r="AS177" s="123"/>
      <c r="AT177" s="123"/>
      <c r="AU177" s="123"/>
      <c r="AV177" s="123"/>
      <c r="AW177" s="123"/>
      <c r="AX177" s="123"/>
      <c r="AY177" s="123"/>
      <c r="AZ177" s="123"/>
      <c r="BA177" s="123"/>
    </row>
    <row r="178" spans="1:53" ht="15.75">
      <c r="A178" s="110"/>
      <c r="B178" s="111"/>
      <c r="C178" s="110"/>
      <c r="D178" s="102"/>
      <c r="E178" s="125"/>
      <c r="F178" s="114"/>
      <c r="G178" s="118"/>
      <c r="H178" s="123"/>
      <c r="I178" s="88"/>
      <c r="J178" s="89"/>
      <c r="K178" s="89"/>
      <c r="L178" s="123"/>
      <c r="M178" s="123"/>
      <c r="N178" s="123"/>
      <c r="O178" s="123"/>
      <c r="P178" s="123"/>
      <c r="Q178" s="123"/>
      <c r="R178" s="123"/>
      <c r="S178" s="123"/>
      <c r="T178" s="123"/>
      <c r="U178" s="123"/>
      <c r="V178" s="123"/>
      <c r="W178" s="123"/>
      <c r="X178" s="123"/>
      <c r="Y178" s="123"/>
      <c r="Z178" s="123"/>
      <c r="AA178" s="123"/>
      <c r="AB178" s="123"/>
      <c r="AC178" s="123"/>
      <c r="AD178" s="123"/>
      <c r="AE178" s="123"/>
      <c r="AF178" s="123"/>
      <c r="AG178" s="123"/>
      <c r="AH178" s="123"/>
      <c r="AI178" s="123"/>
      <c r="AJ178" s="123"/>
      <c r="AK178" s="123"/>
      <c r="AL178" s="123"/>
      <c r="AM178" s="123"/>
      <c r="AN178" s="123"/>
      <c r="AO178" s="123"/>
      <c r="AP178" s="123"/>
      <c r="AQ178" s="123"/>
      <c r="AR178" s="123"/>
      <c r="AS178" s="123"/>
      <c r="AT178" s="123"/>
      <c r="AU178" s="123"/>
      <c r="AV178" s="123"/>
      <c r="AW178" s="123"/>
      <c r="AX178" s="123"/>
      <c r="AY178" s="123"/>
      <c r="AZ178" s="123"/>
      <c r="BA178" s="123"/>
    </row>
    <row r="179" spans="1:53" ht="15.75">
      <c r="A179" s="112"/>
      <c r="B179" s="113"/>
      <c r="C179" s="112"/>
      <c r="D179" s="102"/>
      <c r="E179" s="124"/>
      <c r="F179" s="102"/>
      <c r="G179" s="118"/>
      <c r="H179" s="123"/>
      <c r="I179" s="88"/>
      <c r="J179" s="89"/>
      <c r="K179" s="89"/>
      <c r="L179" s="123"/>
      <c r="M179" s="123"/>
      <c r="N179" s="123"/>
      <c r="O179" s="123"/>
      <c r="P179" s="123"/>
      <c r="Q179" s="123"/>
      <c r="R179" s="123"/>
      <c r="S179" s="123"/>
      <c r="T179" s="123"/>
      <c r="U179" s="123"/>
      <c r="V179" s="123"/>
      <c r="W179" s="123"/>
      <c r="X179" s="123"/>
      <c r="Y179" s="123"/>
      <c r="Z179" s="123"/>
      <c r="AA179" s="123"/>
      <c r="AB179" s="123"/>
      <c r="AC179" s="123"/>
      <c r="AD179" s="123"/>
      <c r="AE179" s="123"/>
      <c r="AF179" s="123"/>
      <c r="AG179" s="123"/>
      <c r="AH179" s="123"/>
      <c r="AI179" s="123"/>
      <c r="AJ179" s="123"/>
      <c r="AK179" s="123"/>
      <c r="AL179" s="123"/>
      <c r="AM179" s="123"/>
      <c r="AN179" s="123"/>
      <c r="AO179" s="123"/>
      <c r="AP179" s="123"/>
      <c r="AQ179" s="123"/>
      <c r="AR179" s="123"/>
      <c r="AS179" s="123"/>
      <c r="AT179" s="123"/>
      <c r="AU179" s="123"/>
      <c r="AV179" s="123"/>
      <c r="AW179" s="123"/>
      <c r="AX179" s="123"/>
      <c r="AY179" s="123"/>
      <c r="AZ179" s="123"/>
      <c r="BA179" s="123"/>
    </row>
    <row r="180" spans="1:53" ht="15.75">
      <c r="A180" s="110" t="s">
        <v>284</v>
      </c>
      <c r="B180" s="111"/>
      <c r="C180" s="110"/>
      <c r="D180" s="114"/>
      <c r="E180" s="13"/>
      <c r="F180" s="102"/>
      <c r="G180" s="118"/>
      <c r="H180" s="123"/>
      <c r="I180" s="88"/>
      <c r="J180" s="89"/>
      <c r="K180" s="89"/>
      <c r="L180" s="123"/>
      <c r="M180" s="123"/>
      <c r="N180" s="123"/>
      <c r="O180" s="123"/>
      <c r="P180" s="123"/>
      <c r="Q180" s="123"/>
      <c r="R180" s="123"/>
      <c r="S180" s="123"/>
      <c r="T180" s="123"/>
      <c r="U180" s="123"/>
      <c r="V180" s="123"/>
      <c r="W180" s="123"/>
      <c r="X180" s="123"/>
      <c r="Y180" s="123"/>
      <c r="Z180" s="123"/>
      <c r="AA180" s="123"/>
      <c r="AB180" s="123"/>
      <c r="AC180" s="123"/>
      <c r="AD180" s="123"/>
      <c r="AE180" s="123"/>
      <c r="AF180" s="123"/>
      <c r="AG180" s="123"/>
      <c r="AH180" s="123"/>
      <c r="AI180" s="123"/>
      <c r="AJ180" s="123"/>
      <c r="AK180" s="123"/>
      <c r="AL180" s="123"/>
      <c r="AM180" s="123"/>
      <c r="AN180" s="123"/>
      <c r="AO180" s="123"/>
      <c r="AP180" s="123"/>
      <c r="AQ180" s="123"/>
      <c r="AR180" s="123"/>
      <c r="AS180" s="123"/>
      <c r="AT180" s="123"/>
      <c r="AU180" s="123"/>
      <c r="AV180" s="123"/>
      <c r="AW180" s="123"/>
      <c r="AX180" s="123"/>
      <c r="AY180" s="123"/>
      <c r="AZ180" s="123"/>
      <c r="BA180" s="123"/>
    </row>
    <row r="181" spans="1:53" ht="15.75">
      <c r="A181" s="110" t="s">
        <v>284</v>
      </c>
      <c r="B181" s="111"/>
      <c r="C181" s="110"/>
      <c r="D181" s="102"/>
      <c r="E181" s="13"/>
      <c r="F181" s="102"/>
      <c r="G181" s="118"/>
      <c r="H181" s="123"/>
      <c r="I181" s="88"/>
      <c r="J181" s="89"/>
      <c r="K181" s="89"/>
      <c r="L181" s="123"/>
      <c r="M181" s="123"/>
      <c r="N181" s="123"/>
      <c r="O181" s="123"/>
      <c r="P181" s="123"/>
      <c r="Q181" s="123"/>
      <c r="R181" s="123"/>
      <c r="S181" s="123"/>
      <c r="T181" s="123"/>
      <c r="U181" s="123"/>
      <c r="V181" s="123"/>
      <c r="W181" s="123"/>
      <c r="X181" s="123"/>
      <c r="Y181" s="123"/>
      <c r="Z181" s="123"/>
      <c r="AA181" s="123"/>
      <c r="AB181" s="123"/>
      <c r="AC181" s="123"/>
      <c r="AD181" s="123"/>
      <c r="AE181" s="123"/>
      <c r="AF181" s="123"/>
      <c r="AG181" s="123"/>
      <c r="AH181" s="123"/>
      <c r="AI181" s="123"/>
      <c r="AJ181" s="123"/>
      <c r="AK181" s="123"/>
      <c r="AL181" s="123"/>
      <c r="AM181" s="123"/>
      <c r="AN181" s="123"/>
      <c r="AO181" s="123"/>
      <c r="AP181" s="123"/>
      <c r="AQ181" s="123"/>
      <c r="AR181" s="123"/>
      <c r="AS181" s="123"/>
      <c r="AT181" s="123"/>
      <c r="AU181" s="123"/>
      <c r="AV181" s="123"/>
      <c r="AW181" s="123"/>
      <c r="AX181" s="123"/>
      <c r="AY181" s="123"/>
      <c r="AZ181" s="123"/>
      <c r="BA181" s="123"/>
    </row>
    <row r="182" spans="1:53" ht="15.75">
      <c r="A182" s="110" t="s">
        <v>284</v>
      </c>
      <c r="B182" s="111"/>
      <c r="C182" s="110"/>
      <c r="D182" s="102"/>
      <c r="E182" s="13"/>
      <c r="F182" s="102"/>
      <c r="G182" s="118"/>
      <c r="H182" s="123"/>
      <c r="I182" s="88"/>
      <c r="J182" s="89"/>
      <c r="K182" s="89"/>
      <c r="L182" s="123"/>
      <c r="M182" s="123"/>
      <c r="N182" s="123"/>
      <c r="O182" s="123"/>
      <c r="P182" s="123"/>
      <c r="Q182" s="123"/>
      <c r="R182" s="123"/>
      <c r="S182" s="123"/>
      <c r="T182" s="123"/>
      <c r="U182" s="123"/>
      <c r="V182" s="123"/>
      <c r="W182" s="123"/>
      <c r="X182" s="123"/>
      <c r="Y182" s="123"/>
      <c r="Z182" s="123"/>
      <c r="AA182" s="123"/>
      <c r="AB182" s="123"/>
      <c r="AC182" s="123"/>
      <c r="AD182" s="123"/>
      <c r="AE182" s="123"/>
      <c r="AF182" s="123"/>
      <c r="AG182" s="123"/>
      <c r="AH182" s="123"/>
      <c r="AI182" s="123"/>
      <c r="AJ182" s="123"/>
      <c r="AK182" s="123"/>
      <c r="AL182" s="123"/>
      <c r="AM182" s="123"/>
      <c r="AN182" s="123"/>
      <c r="AO182" s="123"/>
      <c r="AP182" s="123"/>
      <c r="AQ182" s="123"/>
      <c r="AR182" s="123"/>
      <c r="AS182" s="123"/>
      <c r="AT182" s="123"/>
      <c r="AU182" s="123"/>
      <c r="AV182" s="123"/>
      <c r="AW182" s="123"/>
      <c r="AX182" s="123"/>
      <c r="AY182" s="123"/>
      <c r="AZ182" s="123"/>
      <c r="BA182" s="123"/>
    </row>
    <row r="183" spans="1:53" ht="15.75">
      <c r="A183" s="110" t="s">
        <v>284</v>
      </c>
      <c r="B183" s="111"/>
      <c r="C183" s="110"/>
      <c r="D183" s="102"/>
      <c r="E183" s="13"/>
      <c r="F183" s="102"/>
      <c r="G183" s="118"/>
      <c r="H183" s="123"/>
      <c r="I183" s="88"/>
      <c r="J183" s="89"/>
      <c r="K183" s="89"/>
      <c r="L183" s="123"/>
      <c r="M183" s="123"/>
      <c r="N183" s="123"/>
      <c r="O183" s="123"/>
      <c r="P183" s="123"/>
      <c r="Q183" s="123"/>
      <c r="R183" s="123"/>
      <c r="S183" s="123"/>
      <c r="T183" s="123"/>
      <c r="U183" s="123"/>
      <c r="V183" s="123"/>
      <c r="W183" s="123"/>
      <c r="X183" s="123"/>
      <c r="Y183" s="123"/>
      <c r="Z183" s="123"/>
      <c r="AA183" s="123"/>
      <c r="AB183" s="123"/>
      <c r="AC183" s="123"/>
      <c r="AD183" s="123"/>
      <c r="AE183" s="123"/>
      <c r="AF183" s="123"/>
      <c r="AG183" s="123"/>
      <c r="AH183" s="123"/>
      <c r="AI183" s="123"/>
      <c r="AJ183" s="123"/>
      <c r="AK183" s="123"/>
      <c r="AL183" s="123"/>
      <c r="AM183" s="123"/>
      <c r="AN183" s="123"/>
      <c r="AO183" s="123"/>
      <c r="AP183" s="123"/>
      <c r="AQ183" s="123"/>
      <c r="AR183" s="123"/>
      <c r="AS183" s="123"/>
      <c r="AT183" s="123"/>
      <c r="AU183" s="123"/>
      <c r="AV183" s="123"/>
      <c r="AW183" s="123"/>
      <c r="AX183" s="123"/>
      <c r="AY183" s="123"/>
      <c r="AZ183" s="123"/>
      <c r="BA183" s="123"/>
    </row>
    <row r="184" spans="1:53" ht="15.75">
      <c r="A184" s="110" t="s">
        <v>284</v>
      </c>
      <c r="B184" s="111"/>
      <c r="C184" s="110"/>
      <c r="D184" s="102"/>
      <c r="E184" s="13"/>
      <c r="F184" s="102"/>
      <c r="G184" s="118"/>
      <c r="H184" s="123"/>
      <c r="I184" s="88"/>
      <c r="J184" s="89"/>
      <c r="K184" s="89"/>
      <c r="L184" s="123"/>
      <c r="M184" s="123"/>
      <c r="N184" s="123"/>
      <c r="O184" s="123"/>
      <c r="P184" s="123"/>
      <c r="Q184" s="123"/>
      <c r="R184" s="123"/>
      <c r="S184" s="123"/>
      <c r="T184" s="123"/>
      <c r="U184" s="123"/>
      <c r="V184" s="123"/>
      <c r="W184" s="123"/>
      <c r="X184" s="123"/>
      <c r="Y184" s="123"/>
      <c r="Z184" s="123"/>
      <c r="AA184" s="123"/>
      <c r="AB184" s="123"/>
      <c r="AC184" s="123"/>
      <c r="AD184" s="123"/>
      <c r="AE184" s="123"/>
      <c r="AF184" s="123"/>
      <c r="AG184" s="123"/>
      <c r="AH184" s="123"/>
      <c r="AI184" s="123"/>
      <c r="AJ184" s="123"/>
      <c r="AK184" s="123"/>
      <c r="AL184" s="123"/>
      <c r="AM184" s="123"/>
      <c r="AN184" s="123"/>
      <c r="AO184" s="123"/>
      <c r="AP184" s="123"/>
      <c r="AQ184" s="123"/>
      <c r="AR184" s="123"/>
      <c r="AS184" s="123"/>
      <c r="AT184" s="123"/>
      <c r="AU184" s="123"/>
      <c r="AV184" s="123"/>
      <c r="AW184" s="123"/>
      <c r="AX184" s="123"/>
      <c r="AY184" s="123"/>
      <c r="AZ184" s="123"/>
      <c r="BA184" s="123"/>
    </row>
    <row r="185" spans="1:53" ht="15.75">
      <c r="A185" s="110" t="s">
        <v>284</v>
      </c>
      <c r="B185" s="111"/>
      <c r="C185" s="110"/>
      <c r="D185" s="102"/>
      <c r="E185" s="13"/>
      <c r="F185" s="102"/>
      <c r="G185" s="118"/>
      <c r="H185" s="123"/>
      <c r="I185" s="88"/>
      <c r="J185" s="89"/>
      <c r="K185" s="89"/>
      <c r="L185" s="123"/>
      <c r="M185" s="123"/>
      <c r="N185" s="123"/>
      <c r="O185" s="123"/>
      <c r="P185" s="123"/>
      <c r="Q185" s="123"/>
      <c r="R185" s="123"/>
      <c r="S185" s="123"/>
      <c r="T185" s="123"/>
      <c r="U185" s="123"/>
      <c r="V185" s="123"/>
      <c r="W185" s="123"/>
      <c r="X185" s="123"/>
      <c r="Y185" s="123"/>
      <c r="Z185" s="123"/>
      <c r="AA185" s="123"/>
      <c r="AB185" s="123"/>
      <c r="AC185" s="123"/>
      <c r="AD185" s="123"/>
      <c r="AE185" s="123"/>
      <c r="AF185" s="123"/>
      <c r="AG185" s="123"/>
      <c r="AH185" s="123"/>
      <c r="AI185" s="123"/>
      <c r="AJ185" s="123"/>
      <c r="AK185" s="123"/>
      <c r="AL185" s="123"/>
      <c r="AM185" s="123"/>
      <c r="AN185" s="123"/>
      <c r="AO185" s="123"/>
      <c r="AP185" s="123"/>
      <c r="AQ185" s="123"/>
      <c r="AR185" s="123"/>
      <c r="AS185" s="123"/>
      <c r="AT185" s="123"/>
      <c r="AU185" s="123"/>
      <c r="AV185" s="123"/>
      <c r="AW185" s="123"/>
      <c r="AX185" s="123"/>
      <c r="AY185" s="123"/>
      <c r="AZ185" s="123"/>
      <c r="BA185" s="123"/>
    </row>
    <row r="186" spans="1:53" ht="15.75">
      <c r="A186" s="110" t="s">
        <v>284</v>
      </c>
      <c r="B186" s="111"/>
      <c r="C186" s="110"/>
      <c r="D186" s="102"/>
      <c r="E186" s="13"/>
      <c r="F186" s="102"/>
      <c r="G186" s="118"/>
      <c r="H186" s="123"/>
      <c r="I186" s="88"/>
      <c r="J186" s="89"/>
      <c r="K186" s="89"/>
      <c r="L186" s="123"/>
      <c r="M186" s="123"/>
      <c r="N186" s="123"/>
      <c r="O186" s="123"/>
      <c r="P186" s="123"/>
      <c r="Q186" s="123"/>
      <c r="R186" s="123"/>
      <c r="S186" s="123"/>
      <c r="T186" s="123"/>
      <c r="U186" s="123"/>
      <c r="V186" s="123"/>
      <c r="W186" s="123"/>
      <c r="X186" s="123"/>
      <c r="Y186" s="123"/>
      <c r="Z186" s="123"/>
      <c r="AA186" s="123"/>
      <c r="AB186" s="123"/>
      <c r="AC186" s="123"/>
      <c r="AD186" s="123"/>
      <c r="AE186" s="123"/>
      <c r="AF186" s="123"/>
      <c r="AG186" s="123"/>
      <c r="AH186" s="123"/>
      <c r="AI186" s="123"/>
      <c r="AJ186" s="123"/>
      <c r="AK186" s="123"/>
      <c r="AL186" s="123"/>
      <c r="AM186" s="123"/>
      <c r="AN186" s="123"/>
      <c r="AO186" s="123"/>
      <c r="AP186" s="123"/>
      <c r="AQ186" s="123"/>
      <c r="AR186" s="123"/>
      <c r="AS186" s="123"/>
      <c r="AT186" s="123"/>
      <c r="AU186" s="123"/>
      <c r="AV186" s="123"/>
      <c r="AW186" s="123"/>
      <c r="AX186" s="123"/>
      <c r="AY186" s="123"/>
      <c r="AZ186" s="123"/>
      <c r="BA186" s="123"/>
    </row>
    <row r="187" spans="1:53" ht="15.75">
      <c r="A187" s="110" t="s">
        <v>284</v>
      </c>
      <c r="B187" s="111"/>
      <c r="C187" s="110"/>
      <c r="D187" s="102"/>
      <c r="E187" s="13"/>
      <c r="F187" s="102"/>
      <c r="G187" s="118"/>
      <c r="H187" s="123"/>
      <c r="I187" s="88"/>
      <c r="J187" s="89"/>
      <c r="K187" s="89"/>
      <c r="L187" s="123"/>
      <c r="M187" s="123"/>
      <c r="N187" s="123"/>
      <c r="O187" s="123"/>
      <c r="P187" s="123"/>
      <c r="Q187" s="123"/>
      <c r="R187" s="123"/>
      <c r="S187" s="123"/>
      <c r="T187" s="123"/>
      <c r="U187" s="123"/>
      <c r="V187" s="123"/>
      <c r="W187" s="123"/>
      <c r="X187" s="123"/>
      <c r="Y187" s="123"/>
      <c r="Z187" s="123"/>
      <c r="AA187" s="123"/>
      <c r="AB187" s="123"/>
      <c r="AC187" s="123"/>
      <c r="AD187" s="123"/>
      <c r="AE187" s="123"/>
      <c r="AF187" s="123"/>
      <c r="AG187" s="123"/>
      <c r="AH187" s="123"/>
      <c r="AI187" s="123"/>
      <c r="AJ187" s="123"/>
      <c r="AK187" s="123"/>
      <c r="AL187" s="123"/>
      <c r="AM187" s="123"/>
      <c r="AN187" s="123"/>
      <c r="AO187" s="123"/>
      <c r="AP187" s="123"/>
      <c r="AQ187" s="123"/>
      <c r="AR187" s="123"/>
      <c r="AS187" s="123"/>
      <c r="AT187" s="123"/>
      <c r="AU187" s="123"/>
      <c r="AV187" s="123"/>
      <c r="AW187" s="123"/>
      <c r="AX187" s="123"/>
      <c r="AY187" s="123"/>
      <c r="AZ187" s="123"/>
      <c r="BA187" s="123"/>
    </row>
    <row r="188" spans="1:53" ht="15.75">
      <c r="A188" s="110" t="s">
        <v>284</v>
      </c>
      <c r="B188" s="111"/>
      <c r="C188" s="110"/>
      <c r="D188" s="102"/>
      <c r="E188" s="13"/>
      <c r="F188" s="102"/>
      <c r="G188" s="118"/>
      <c r="H188" s="123"/>
      <c r="I188" s="88"/>
      <c r="J188" s="89"/>
      <c r="K188" s="89"/>
      <c r="L188" s="123"/>
      <c r="M188" s="123"/>
      <c r="N188" s="123"/>
      <c r="O188" s="123"/>
      <c r="P188" s="123"/>
      <c r="Q188" s="123"/>
      <c r="R188" s="123"/>
      <c r="S188" s="123"/>
      <c r="T188" s="123"/>
      <c r="U188" s="123"/>
      <c r="V188" s="123"/>
      <c r="W188" s="123"/>
      <c r="X188" s="123"/>
      <c r="Y188" s="123"/>
      <c r="Z188" s="123"/>
      <c r="AA188" s="123"/>
      <c r="AB188" s="123"/>
      <c r="AC188" s="123"/>
      <c r="AD188" s="123"/>
      <c r="AE188" s="123"/>
      <c r="AF188" s="123"/>
      <c r="AG188" s="123"/>
      <c r="AH188" s="123"/>
      <c r="AI188" s="123"/>
      <c r="AJ188" s="123"/>
      <c r="AK188" s="123"/>
      <c r="AL188" s="123"/>
      <c r="AM188" s="123"/>
      <c r="AN188" s="123"/>
      <c r="AO188" s="123"/>
      <c r="AP188" s="123"/>
      <c r="AQ188" s="123"/>
      <c r="AR188" s="123"/>
      <c r="AS188" s="123"/>
      <c r="AT188" s="123"/>
      <c r="AU188" s="123"/>
      <c r="AV188" s="123"/>
      <c r="AW188" s="123"/>
      <c r="AX188" s="123"/>
      <c r="AY188" s="123"/>
      <c r="AZ188" s="123"/>
      <c r="BA188" s="123"/>
    </row>
    <row r="189" spans="1:53" ht="15.75">
      <c r="A189" s="110" t="s">
        <v>284</v>
      </c>
      <c r="B189" s="111"/>
      <c r="C189" s="110"/>
      <c r="D189" s="102"/>
      <c r="E189" s="13"/>
      <c r="F189" s="102"/>
      <c r="G189" s="118"/>
      <c r="H189" s="123"/>
      <c r="I189" s="88"/>
      <c r="J189" s="89"/>
      <c r="K189" s="89"/>
      <c r="L189" s="123"/>
      <c r="M189" s="123"/>
      <c r="N189" s="123"/>
      <c r="O189" s="123"/>
      <c r="P189" s="123"/>
      <c r="Q189" s="123"/>
      <c r="R189" s="123"/>
      <c r="S189" s="123"/>
      <c r="T189" s="123"/>
      <c r="U189" s="123"/>
      <c r="V189" s="123"/>
      <c r="W189" s="123"/>
      <c r="X189" s="123"/>
      <c r="Y189" s="123"/>
      <c r="Z189" s="123"/>
      <c r="AA189" s="123"/>
      <c r="AB189" s="123"/>
      <c r="AC189" s="123"/>
      <c r="AD189" s="123"/>
      <c r="AE189" s="123"/>
      <c r="AF189" s="123"/>
      <c r="AG189" s="123"/>
      <c r="AH189" s="123"/>
      <c r="AI189" s="123"/>
      <c r="AJ189" s="123"/>
      <c r="AK189" s="123"/>
      <c r="AL189" s="123"/>
      <c r="AM189" s="123"/>
      <c r="AN189" s="123"/>
      <c r="AO189" s="123"/>
      <c r="AP189" s="123"/>
      <c r="AQ189" s="123"/>
      <c r="AR189" s="123"/>
      <c r="AS189" s="123"/>
      <c r="AT189" s="123"/>
      <c r="AU189" s="123"/>
      <c r="AV189" s="123"/>
      <c r="AW189" s="123"/>
      <c r="AX189" s="123"/>
      <c r="AY189" s="123"/>
      <c r="AZ189" s="123"/>
      <c r="BA189" s="123"/>
    </row>
    <row r="190" spans="1:53" ht="15.75">
      <c r="A190" s="110" t="s">
        <v>284</v>
      </c>
      <c r="B190" s="111"/>
      <c r="C190" s="110"/>
      <c r="D190" s="102"/>
      <c r="E190" s="13"/>
      <c r="F190" s="102"/>
      <c r="G190" s="118"/>
      <c r="H190" s="123"/>
      <c r="I190" s="88"/>
      <c r="J190" s="89"/>
      <c r="K190" s="89"/>
      <c r="L190" s="123"/>
      <c r="M190" s="123"/>
      <c r="N190" s="123"/>
      <c r="O190" s="123"/>
      <c r="P190" s="123"/>
      <c r="Q190" s="123"/>
      <c r="R190" s="123"/>
      <c r="S190" s="123"/>
      <c r="T190" s="123"/>
      <c r="U190" s="123"/>
      <c r="V190" s="123"/>
      <c r="W190" s="123"/>
      <c r="X190" s="123"/>
      <c r="Y190" s="123"/>
      <c r="Z190" s="123"/>
      <c r="AA190" s="123"/>
      <c r="AB190" s="123"/>
      <c r="AC190" s="123"/>
      <c r="AD190" s="123"/>
      <c r="AE190" s="123"/>
      <c r="AF190" s="123"/>
      <c r="AG190" s="123"/>
      <c r="AH190" s="123"/>
      <c r="AI190" s="123"/>
      <c r="AJ190" s="123"/>
      <c r="AK190" s="123"/>
      <c r="AL190" s="123"/>
      <c r="AM190" s="123"/>
      <c r="AN190" s="123"/>
      <c r="AO190" s="123"/>
      <c r="AP190" s="123"/>
      <c r="AQ190" s="123"/>
      <c r="AR190" s="123"/>
      <c r="AS190" s="123"/>
      <c r="AT190" s="123"/>
      <c r="AU190" s="123"/>
      <c r="AV190" s="123"/>
      <c r="AW190" s="123"/>
      <c r="AX190" s="123"/>
      <c r="AY190" s="123"/>
      <c r="AZ190" s="123"/>
      <c r="BA190" s="123"/>
    </row>
    <row r="191" spans="1:53" ht="15.75">
      <c r="A191" s="110" t="s">
        <v>284</v>
      </c>
      <c r="B191" s="111"/>
      <c r="C191" s="110"/>
      <c r="D191" s="102"/>
      <c r="E191" s="13"/>
      <c r="F191" s="102"/>
      <c r="G191" s="14"/>
      <c r="I191" s="88"/>
      <c r="J191" s="89"/>
      <c r="K191" s="89"/>
    </row>
    <row r="192" spans="1:53" ht="15.75">
      <c r="A192" s="110" t="s">
        <v>284</v>
      </c>
      <c r="B192" s="111"/>
      <c r="C192" s="111"/>
      <c r="D192" s="102"/>
      <c r="E192" s="126"/>
      <c r="F192" s="102"/>
      <c r="G192" s="127"/>
      <c r="H192" s="128"/>
      <c r="I192" s="129"/>
      <c r="J192" s="89"/>
      <c r="K192" s="89"/>
    </row>
    <row r="193" spans="1:11" ht="15.75">
      <c r="A193" s="110" t="s">
        <v>284</v>
      </c>
      <c r="B193" s="111"/>
      <c r="C193" s="111"/>
      <c r="D193" s="102"/>
      <c r="E193" s="126"/>
      <c r="F193" s="102"/>
      <c r="G193" s="127"/>
      <c r="H193" s="128"/>
      <c r="I193" s="129"/>
      <c r="J193" s="89"/>
      <c r="K193" s="89"/>
    </row>
    <row r="194" spans="1:11" ht="15.75">
      <c r="A194" s="110" t="s">
        <v>284</v>
      </c>
      <c r="B194" s="111"/>
      <c r="C194" s="111"/>
      <c r="D194" s="102"/>
      <c r="E194" s="126"/>
      <c r="F194" s="102"/>
      <c r="G194" s="127"/>
      <c r="H194" s="128"/>
      <c r="I194" s="129"/>
      <c r="J194" s="89"/>
      <c r="K194" s="89"/>
    </row>
    <row r="195" spans="1:11" ht="15.75">
      <c r="A195" s="110" t="s">
        <v>284</v>
      </c>
      <c r="B195" s="111"/>
      <c r="C195" s="111"/>
      <c r="D195" s="102"/>
      <c r="E195" s="130"/>
      <c r="F195" s="102"/>
      <c r="G195" s="122"/>
      <c r="H195" s="12"/>
      <c r="I195" s="129"/>
      <c r="J195" s="89"/>
      <c r="K195" s="89"/>
    </row>
    <row r="196" spans="1:11" ht="15.75">
      <c r="A196" s="110" t="s">
        <v>284</v>
      </c>
      <c r="B196" s="111"/>
      <c r="C196" s="111"/>
      <c r="D196" s="102"/>
      <c r="E196" s="130"/>
      <c r="F196" s="102"/>
      <c r="G196" s="122"/>
      <c r="H196" s="12"/>
      <c r="I196" s="129"/>
      <c r="J196" s="89"/>
      <c r="K196" s="89"/>
    </row>
    <row r="197" spans="1:11" ht="15.75">
      <c r="A197" s="110" t="s">
        <v>284</v>
      </c>
      <c r="B197" s="111"/>
      <c r="C197" s="111"/>
      <c r="D197" s="102"/>
      <c r="E197" s="130"/>
      <c r="F197" s="102"/>
      <c r="G197" s="122"/>
      <c r="H197" s="12"/>
      <c r="I197" s="129"/>
      <c r="J197" s="89"/>
      <c r="K197" s="89"/>
    </row>
    <row r="198" spans="1:11" ht="15.75">
      <c r="A198" s="11" t="s">
        <v>284</v>
      </c>
      <c r="B198" s="111"/>
      <c r="C198" s="111"/>
      <c r="D198" s="102"/>
      <c r="E198" s="130"/>
      <c r="F198" s="102"/>
      <c r="G198" s="122"/>
      <c r="H198" s="12"/>
      <c r="I198" s="129"/>
      <c r="J198" s="89"/>
      <c r="K198" s="89"/>
    </row>
    <row r="199" spans="1:11" ht="15.75">
      <c r="A199" s="11" t="s">
        <v>284</v>
      </c>
      <c r="B199" s="111"/>
      <c r="C199" s="111"/>
      <c r="D199" s="102"/>
      <c r="E199" s="130"/>
      <c r="F199" s="102"/>
      <c r="G199" s="122"/>
      <c r="H199" s="12"/>
      <c r="I199" s="129"/>
      <c r="J199" s="89"/>
      <c r="K199" s="89"/>
    </row>
    <row r="200" spans="1:11" ht="15.75">
      <c r="B200" s="111"/>
      <c r="C200" s="111"/>
      <c r="D200" s="102"/>
      <c r="E200" s="130"/>
      <c r="F200" s="102"/>
      <c r="G200" s="122"/>
      <c r="H200" s="10"/>
      <c r="I200" s="129"/>
      <c r="J200" s="89"/>
      <c r="K200" s="89"/>
    </row>
    <row r="201" spans="1:11" ht="15.75">
      <c r="B201" s="111"/>
      <c r="C201" s="111"/>
      <c r="D201" s="102"/>
      <c r="E201" s="130"/>
      <c r="F201" s="102"/>
      <c r="G201" s="122"/>
      <c r="H201" s="10"/>
      <c r="I201" s="129"/>
      <c r="J201" s="89"/>
      <c r="K201" s="89"/>
    </row>
    <row r="202" spans="1:11" ht="15.75">
      <c r="B202" s="111"/>
      <c r="C202" s="111"/>
      <c r="D202" s="102"/>
      <c r="E202" s="130"/>
      <c r="F202" s="102"/>
      <c r="G202" s="122"/>
      <c r="H202" s="10"/>
      <c r="I202" s="129"/>
      <c r="J202" s="89"/>
      <c r="K202" s="89"/>
    </row>
    <row r="203" spans="1:11" ht="15.75">
      <c r="B203" s="111"/>
      <c r="C203" s="111"/>
      <c r="D203" s="102"/>
      <c r="E203" s="130"/>
      <c r="F203" s="102"/>
      <c r="G203" s="122"/>
      <c r="H203" s="10"/>
      <c r="I203" s="129"/>
      <c r="J203" s="89"/>
      <c r="K203" s="89"/>
    </row>
    <row r="204" spans="1:11" ht="15.75">
      <c r="B204" s="111"/>
      <c r="C204" s="111"/>
      <c r="D204" s="102"/>
      <c r="E204" s="130"/>
      <c r="F204" s="102"/>
      <c r="G204" s="122"/>
      <c r="H204" s="10"/>
      <c r="I204" s="129"/>
      <c r="J204" s="89"/>
      <c r="K204" s="89"/>
    </row>
    <row r="205" spans="1:11" ht="15.75">
      <c r="B205" s="111"/>
      <c r="C205" s="111"/>
      <c r="D205" s="102"/>
      <c r="E205" s="130"/>
      <c r="F205" s="102"/>
      <c r="G205" s="122"/>
      <c r="H205" s="10"/>
      <c r="I205" s="10"/>
    </row>
    <row r="206" spans="1:11" ht="15.75">
      <c r="B206" s="111"/>
      <c r="C206" s="111"/>
      <c r="D206" s="102"/>
      <c r="E206" s="130"/>
      <c r="F206" s="102"/>
      <c r="G206" s="122"/>
      <c r="H206" s="10"/>
      <c r="I206" s="10"/>
    </row>
    <row r="207" spans="1:11" ht="15.75">
      <c r="B207" s="111"/>
      <c r="C207" s="111"/>
      <c r="D207" s="102"/>
      <c r="E207" s="130"/>
      <c r="F207" s="102"/>
      <c r="G207" s="122"/>
      <c r="H207" s="10"/>
      <c r="I207" s="10"/>
    </row>
    <row r="208" spans="1:11" ht="15.75">
      <c r="B208" s="111"/>
      <c r="C208" s="111"/>
      <c r="D208" s="102"/>
      <c r="E208" s="130"/>
      <c r="F208" s="102"/>
      <c r="G208" s="122"/>
      <c r="H208" s="10"/>
      <c r="I208" s="10"/>
    </row>
    <row r="209" spans="2:9" ht="15.75">
      <c r="B209" s="111"/>
      <c r="C209" s="111"/>
      <c r="D209" s="102"/>
      <c r="E209" s="130"/>
      <c r="F209" s="102"/>
      <c r="G209" s="122"/>
      <c r="H209" s="10"/>
      <c r="I209" s="10"/>
    </row>
    <row r="210" spans="2:9" ht="15.75">
      <c r="B210" s="111"/>
      <c r="C210" s="111"/>
      <c r="D210" s="102"/>
      <c r="E210" s="130"/>
      <c r="F210" s="102"/>
      <c r="G210" s="122"/>
      <c r="H210" s="10"/>
      <c r="I210" s="10"/>
    </row>
    <row r="211" spans="2:9" ht="15.75">
      <c r="B211" s="111"/>
      <c r="C211" s="111"/>
      <c r="D211" s="102"/>
      <c r="E211" s="130"/>
      <c r="F211" s="102"/>
      <c r="G211" s="122"/>
      <c r="H211" s="10"/>
      <c r="I211" s="10"/>
    </row>
    <row r="212" spans="2:9" ht="15.75">
      <c r="B212" s="111"/>
      <c r="C212" s="111"/>
      <c r="D212" s="102"/>
      <c r="E212" s="130"/>
      <c r="F212" s="102"/>
      <c r="G212" s="122"/>
      <c r="H212" s="10"/>
      <c r="I212" s="10"/>
    </row>
    <row r="213" spans="2:9" ht="15.75">
      <c r="B213" s="111"/>
      <c r="C213" s="111"/>
      <c r="D213" s="102"/>
      <c r="E213" s="130"/>
      <c r="F213" s="102"/>
      <c r="G213" s="122"/>
      <c r="H213" s="10"/>
      <c r="I213" s="10"/>
    </row>
    <row r="214" spans="2:9" ht="15.75">
      <c r="B214" s="111"/>
      <c r="C214" s="111"/>
      <c r="D214" s="102"/>
      <c r="E214" s="130"/>
      <c r="F214" s="102"/>
      <c r="G214" s="122"/>
      <c r="H214" s="10"/>
      <c r="I214" s="10"/>
    </row>
    <row r="215" spans="2:9" ht="15.75">
      <c r="B215" s="111"/>
      <c r="C215" s="111"/>
      <c r="D215" s="102"/>
      <c r="E215" s="130"/>
      <c r="F215" s="102"/>
      <c r="G215" s="122"/>
      <c r="H215" s="10"/>
      <c r="I215" s="10"/>
    </row>
    <row r="216" spans="2:9" ht="15.75">
      <c r="B216" s="111"/>
      <c r="C216" s="111"/>
      <c r="D216" s="102"/>
      <c r="E216" s="130"/>
      <c r="F216" s="102"/>
      <c r="G216" s="122"/>
      <c r="H216" s="10"/>
      <c r="I216" s="10"/>
    </row>
    <row r="217" spans="2:9" ht="15.75">
      <c r="B217" s="111"/>
      <c r="C217" s="111"/>
      <c r="D217" s="102"/>
      <c r="E217" s="130"/>
      <c r="F217" s="102"/>
      <c r="G217" s="122"/>
      <c r="H217" s="10"/>
      <c r="I217" s="10"/>
    </row>
    <row r="218" spans="2:9" ht="15.75">
      <c r="B218" s="111"/>
      <c r="C218" s="111"/>
      <c r="D218" s="102"/>
      <c r="E218" s="130"/>
      <c r="F218" s="102"/>
      <c r="G218" s="122"/>
      <c r="H218" s="10"/>
      <c r="I218" s="10"/>
    </row>
    <row r="219" spans="2:9" ht="15.75">
      <c r="B219" s="111"/>
      <c r="C219" s="111"/>
      <c r="D219" s="102"/>
      <c r="E219" s="130"/>
      <c r="F219" s="102"/>
      <c r="G219" s="122"/>
      <c r="H219" s="10"/>
      <c r="I219" s="10"/>
    </row>
    <row r="220" spans="2:9" ht="15.75">
      <c r="B220" s="111"/>
      <c r="C220" s="111"/>
      <c r="D220" s="102"/>
      <c r="E220" s="130"/>
      <c r="F220" s="102"/>
      <c r="G220" s="122"/>
      <c r="H220" s="10"/>
      <c r="I220" s="10"/>
    </row>
    <row r="221" spans="2:9" ht="15.75">
      <c r="B221" s="111"/>
      <c r="C221" s="111"/>
      <c r="D221" s="102"/>
      <c r="E221" s="130"/>
      <c r="F221" s="102"/>
      <c r="G221" s="122"/>
      <c r="H221" s="10"/>
      <c r="I221" s="10"/>
    </row>
    <row r="222" spans="2:9" ht="15.75">
      <c r="B222" s="111"/>
      <c r="C222" s="111"/>
      <c r="D222" s="102"/>
      <c r="E222" s="130"/>
      <c r="F222" s="102"/>
      <c r="G222" s="122"/>
      <c r="H222" s="10"/>
      <c r="I222" s="10"/>
    </row>
    <row r="223" spans="2:9" ht="15.75">
      <c r="B223" s="111"/>
      <c r="C223" s="111"/>
      <c r="D223" s="102"/>
      <c r="E223" s="130"/>
      <c r="F223" s="102"/>
      <c r="G223" s="122"/>
      <c r="H223" s="10"/>
      <c r="I223" s="10"/>
    </row>
    <row r="224" spans="2:9" ht="15.75">
      <c r="B224" s="111"/>
      <c r="C224" s="111"/>
      <c r="D224" s="102"/>
      <c r="E224" s="130"/>
      <c r="F224" s="102"/>
      <c r="G224" s="122"/>
      <c r="H224" s="10"/>
      <c r="I224" s="10"/>
    </row>
    <row r="225" spans="2:9" ht="15.75">
      <c r="B225" s="111"/>
      <c r="C225" s="111"/>
      <c r="D225" s="102"/>
      <c r="E225" s="130"/>
      <c r="F225" s="102"/>
      <c r="G225" s="122"/>
      <c r="H225" s="10"/>
      <c r="I225" s="10"/>
    </row>
    <row r="226" spans="2:9" ht="15.75">
      <c r="B226" s="111"/>
      <c r="C226" s="111"/>
      <c r="D226" s="102"/>
      <c r="E226" s="130"/>
      <c r="F226" s="102"/>
      <c r="G226" s="122"/>
      <c r="H226" s="10"/>
      <c r="I226" s="10"/>
    </row>
    <row r="227" spans="2:9" ht="15.75">
      <c r="B227" s="111"/>
      <c r="C227" s="111"/>
      <c r="D227" s="102"/>
      <c r="E227" s="130"/>
      <c r="F227" s="102"/>
      <c r="G227" s="122"/>
      <c r="H227" s="10"/>
      <c r="I227" s="10"/>
    </row>
    <row r="228" spans="2:9" ht="15.75">
      <c r="B228" s="111"/>
      <c r="C228" s="111"/>
      <c r="D228" s="102"/>
      <c r="E228" s="130"/>
      <c r="F228" s="102"/>
      <c r="G228" s="122"/>
      <c r="H228" s="10"/>
      <c r="I228" s="10"/>
    </row>
    <row r="229" spans="2:9" ht="15.75">
      <c r="B229" s="111"/>
      <c r="C229" s="111"/>
      <c r="D229" s="102"/>
      <c r="E229" s="130"/>
      <c r="F229" s="102"/>
      <c r="G229" s="122"/>
      <c r="H229" s="10"/>
      <c r="I229" s="10"/>
    </row>
    <row r="230" spans="2:9" ht="15.75">
      <c r="B230" s="111"/>
      <c r="C230" s="111"/>
      <c r="D230" s="102"/>
      <c r="E230" s="130"/>
      <c r="F230" s="102"/>
      <c r="G230" s="122"/>
      <c r="H230" s="10"/>
      <c r="I230" s="10"/>
    </row>
    <row r="231" spans="2:9" ht="15.75">
      <c r="B231" s="111"/>
      <c r="C231" s="111"/>
      <c r="D231" s="102"/>
      <c r="E231" s="130"/>
      <c r="F231" s="102"/>
      <c r="G231" s="122"/>
      <c r="H231" s="10"/>
      <c r="I231" s="10"/>
    </row>
    <row r="232" spans="2:9" ht="15.75">
      <c r="B232" s="111"/>
      <c r="C232" s="111"/>
      <c r="D232" s="102"/>
      <c r="E232" s="130"/>
      <c r="F232" s="102"/>
      <c r="G232" s="122"/>
      <c r="H232" s="10"/>
      <c r="I232" s="10"/>
    </row>
    <row r="233" spans="2:9" ht="15.75">
      <c r="B233" s="111"/>
      <c r="C233" s="111"/>
      <c r="D233" s="102"/>
      <c r="E233" s="130"/>
      <c r="F233" s="102"/>
      <c r="G233" s="122"/>
      <c r="H233" s="10"/>
      <c r="I233" s="10"/>
    </row>
    <row r="234" spans="2:9" ht="15.75">
      <c r="B234" s="111"/>
      <c r="C234" s="111"/>
      <c r="D234" s="102"/>
      <c r="E234" s="130"/>
      <c r="F234" s="102"/>
      <c r="G234" s="122"/>
      <c r="H234" s="10"/>
      <c r="I234" s="10"/>
    </row>
    <row r="235" spans="2:9" ht="15.75">
      <c r="B235" s="111"/>
      <c r="C235" s="111"/>
      <c r="D235" s="102"/>
      <c r="E235" s="130"/>
      <c r="F235" s="102"/>
      <c r="G235" s="122"/>
      <c r="H235" s="10"/>
      <c r="I235" s="10"/>
    </row>
    <row r="236" spans="2:9" ht="15.75">
      <c r="B236" s="111"/>
      <c r="C236" s="111"/>
      <c r="D236" s="102"/>
      <c r="E236" s="130"/>
      <c r="F236" s="102"/>
      <c r="G236" s="122"/>
      <c r="H236" s="10"/>
      <c r="I236" s="10"/>
    </row>
    <row r="237" spans="2:9" ht="15.75">
      <c r="B237" s="111"/>
      <c r="C237" s="111"/>
      <c r="D237" s="102"/>
      <c r="E237" s="130"/>
      <c r="F237" s="102"/>
      <c r="G237" s="122"/>
      <c r="H237" s="10"/>
      <c r="I237" s="10"/>
    </row>
    <row r="238" spans="2:9" ht="15.75">
      <c r="B238" s="111"/>
      <c r="C238" s="111"/>
      <c r="D238" s="102"/>
      <c r="E238" s="130"/>
      <c r="F238" s="102"/>
      <c r="G238" s="122"/>
      <c r="H238" s="10"/>
      <c r="I238" s="10"/>
    </row>
    <row r="239" spans="2:9" ht="15.75">
      <c r="B239" s="111"/>
      <c r="C239" s="111"/>
      <c r="D239" s="102"/>
      <c r="E239" s="130"/>
      <c r="F239" s="102"/>
      <c r="G239" s="122"/>
      <c r="H239" s="10"/>
      <c r="I239" s="10"/>
    </row>
    <row r="240" spans="2:9" ht="15.75">
      <c r="B240" s="111"/>
      <c r="C240" s="111"/>
      <c r="D240" s="102"/>
      <c r="E240" s="130"/>
      <c r="F240" s="102"/>
      <c r="G240" s="122"/>
      <c r="H240" s="10"/>
      <c r="I240" s="10"/>
    </row>
    <row r="241" spans="2:9" ht="15.75">
      <c r="B241" s="111"/>
      <c r="C241" s="111"/>
      <c r="D241" s="102"/>
      <c r="E241" s="130"/>
      <c r="F241" s="102"/>
      <c r="G241" s="122"/>
      <c r="H241" s="10"/>
      <c r="I241" s="10"/>
    </row>
    <row r="242" spans="2:9" ht="15.75">
      <c r="B242" s="111"/>
      <c r="C242" s="111"/>
      <c r="D242" s="102"/>
      <c r="E242" s="130"/>
      <c r="F242" s="102"/>
      <c r="G242" s="122"/>
      <c r="H242" s="10"/>
      <c r="I242" s="10"/>
    </row>
    <row r="243" spans="2:9" ht="15.75">
      <c r="B243" s="111"/>
      <c r="C243" s="111"/>
      <c r="D243" s="102"/>
      <c r="E243" s="130"/>
      <c r="F243" s="102"/>
      <c r="G243" s="122"/>
      <c r="H243" s="10"/>
      <c r="I243" s="10"/>
    </row>
    <row r="244" spans="2:9" ht="15.75">
      <c r="B244" s="111"/>
      <c r="C244" s="111"/>
      <c r="D244" s="102"/>
      <c r="E244" s="130"/>
      <c r="F244" s="102"/>
      <c r="G244" s="122"/>
      <c r="H244" s="10"/>
      <c r="I244" s="10"/>
    </row>
    <row r="245" spans="2:9" ht="15.75">
      <c r="B245" s="111"/>
      <c r="C245" s="111"/>
      <c r="D245" s="102"/>
      <c r="E245" s="130"/>
      <c r="F245" s="102"/>
      <c r="G245" s="122"/>
      <c r="H245" s="10"/>
      <c r="I245" s="10"/>
    </row>
    <row r="246" spans="2:9" ht="15.75">
      <c r="B246" s="111"/>
      <c r="C246" s="111"/>
      <c r="D246" s="102"/>
      <c r="E246" s="130"/>
      <c r="F246" s="102"/>
      <c r="G246" s="122"/>
      <c r="H246" s="10"/>
      <c r="I246" s="10"/>
    </row>
    <row r="247" spans="2:9" ht="15.75">
      <c r="B247" s="111"/>
      <c r="C247" s="111"/>
      <c r="D247" s="102"/>
      <c r="E247" s="130"/>
      <c r="F247" s="102"/>
      <c r="G247" s="122"/>
      <c r="H247" s="10"/>
      <c r="I247" s="10"/>
    </row>
    <row r="248" spans="2:9" ht="15.75">
      <c r="B248" s="111"/>
      <c r="C248" s="111"/>
      <c r="D248" s="102"/>
      <c r="E248" s="130"/>
      <c r="F248" s="102"/>
      <c r="G248" s="122"/>
      <c r="H248" s="10"/>
      <c r="I248" s="10"/>
    </row>
    <row r="249" spans="2:9" ht="15.75">
      <c r="B249" s="111"/>
      <c r="C249" s="111"/>
      <c r="D249" s="102"/>
      <c r="E249" s="130"/>
      <c r="F249" s="102"/>
      <c r="G249" s="122"/>
      <c r="H249" s="10"/>
      <c r="I249" s="10"/>
    </row>
    <row r="250" spans="2:9" ht="15.75">
      <c r="B250" s="111"/>
      <c r="C250" s="111"/>
      <c r="D250" s="102"/>
      <c r="E250" s="130"/>
      <c r="F250" s="102"/>
      <c r="G250" s="122"/>
      <c r="H250" s="10"/>
      <c r="I250" s="10"/>
    </row>
    <row r="251" spans="2:9" ht="15.75">
      <c r="B251" s="111"/>
      <c r="C251" s="111"/>
      <c r="D251" s="102"/>
      <c r="E251" s="130"/>
      <c r="F251" s="102"/>
      <c r="G251" s="122"/>
      <c r="H251" s="10"/>
      <c r="I251" s="10"/>
    </row>
    <row r="252" spans="2:9" ht="15.75">
      <c r="B252" s="111"/>
      <c r="C252" s="111"/>
      <c r="D252" s="102"/>
      <c r="E252" s="130"/>
      <c r="F252" s="102"/>
      <c r="G252" s="122"/>
      <c r="H252" s="10"/>
      <c r="I252" s="10"/>
    </row>
    <row r="253" spans="2:9" ht="15.75">
      <c r="B253" s="111"/>
      <c r="C253" s="111"/>
      <c r="D253" s="102"/>
      <c r="E253" s="130"/>
      <c r="F253" s="102"/>
      <c r="G253" s="122"/>
      <c r="H253" s="10"/>
      <c r="I253" s="10"/>
    </row>
    <row r="254" spans="2:9" ht="15.75">
      <c r="B254" s="111"/>
      <c r="C254" s="111"/>
      <c r="D254" s="102"/>
      <c r="E254" s="130"/>
      <c r="F254" s="102"/>
      <c r="G254" s="122"/>
      <c r="H254" s="10"/>
      <c r="I254" s="10"/>
    </row>
    <row r="255" spans="2:9" ht="15.75">
      <c r="B255" s="111"/>
      <c r="C255" s="111"/>
      <c r="D255" s="102"/>
      <c r="E255" s="130"/>
      <c r="F255" s="102"/>
      <c r="G255" s="122"/>
      <c r="H255" s="10"/>
      <c r="I255" s="10"/>
    </row>
    <row r="256" spans="2:9" ht="15.75">
      <c r="B256" s="111"/>
      <c r="C256" s="111"/>
      <c r="D256" s="102"/>
      <c r="E256" s="130"/>
      <c r="F256" s="102"/>
      <c r="G256" s="122"/>
      <c r="H256" s="10"/>
      <c r="I256" s="10"/>
    </row>
    <row r="257" spans="2:9" ht="15.75">
      <c r="B257" s="111"/>
      <c r="C257" s="111"/>
      <c r="D257" s="102"/>
      <c r="E257" s="130"/>
      <c r="F257" s="102"/>
      <c r="G257" s="122"/>
      <c r="H257" s="10"/>
      <c r="I257" s="10"/>
    </row>
    <row r="258" spans="2:9" ht="15.75">
      <c r="B258" s="111"/>
      <c r="C258" s="111"/>
      <c r="D258" s="102"/>
      <c r="E258" s="130"/>
      <c r="F258" s="102"/>
      <c r="G258" s="122"/>
      <c r="H258" s="10"/>
      <c r="I258" s="10"/>
    </row>
    <row r="259" spans="2:9" ht="15.75">
      <c r="B259" s="111"/>
      <c r="C259" s="111"/>
      <c r="D259" s="102"/>
      <c r="E259" s="130"/>
      <c r="F259" s="102"/>
      <c r="G259" s="122"/>
      <c r="H259" s="10"/>
      <c r="I259" s="10"/>
    </row>
    <row r="260" spans="2:9" ht="15.75">
      <c r="B260" s="111"/>
      <c r="C260" s="111"/>
      <c r="D260" s="102"/>
      <c r="E260" s="130"/>
      <c r="F260" s="102"/>
      <c r="G260" s="122"/>
      <c r="H260" s="10"/>
      <c r="I260" s="10"/>
    </row>
    <row r="261" spans="2:9" ht="15.75">
      <c r="B261" s="111"/>
      <c r="C261" s="111"/>
      <c r="D261" s="102"/>
      <c r="E261" s="130"/>
      <c r="F261" s="102"/>
      <c r="G261" s="122"/>
      <c r="H261" s="10"/>
      <c r="I261" s="10"/>
    </row>
    <row r="262" spans="2:9" ht="15.75">
      <c r="B262" s="111"/>
      <c r="C262" s="111"/>
      <c r="D262" s="102"/>
      <c r="E262" s="130"/>
      <c r="F262" s="102"/>
      <c r="G262" s="122"/>
      <c r="H262" s="10"/>
      <c r="I262" s="10"/>
    </row>
    <row r="263" spans="2:9" ht="15.75">
      <c r="B263" s="111"/>
      <c r="C263" s="111"/>
      <c r="D263" s="102"/>
      <c r="E263" s="130"/>
      <c r="F263" s="102"/>
      <c r="G263" s="122"/>
      <c r="H263" s="10"/>
      <c r="I263" s="10"/>
    </row>
    <row r="264" spans="2:9" ht="15.75">
      <c r="B264" s="111"/>
      <c r="C264" s="111"/>
      <c r="D264" s="102"/>
      <c r="E264" s="130"/>
      <c r="F264" s="102"/>
      <c r="G264" s="122"/>
      <c r="H264" s="10"/>
      <c r="I264" s="10"/>
    </row>
    <row r="265" spans="2:9" ht="15.75">
      <c r="B265" s="111"/>
      <c r="C265" s="111"/>
      <c r="D265" s="102"/>
      <c r="E265" s="130"/>
      <c r="F265" s="102"/>
      <c r="G265" s="122"/>
      <c r="H265" s="10"/>
      <c r="I265" s="10"/>
    </row>
    <row r="266" spans="2:9" ht="15.75">
      <c r="B266" s="111"/>
      <c r="C266" s="111"/>
      <c r="D266" s="102"/>
      <c r="E266" s="130"/>
      <c r="F266" s="102"/>
      <c r="G266" s="122"/>
      <c r="H266" s="10"/>
      <c r="I266" s="10"/>
    </row>
    <row r="267" spans="2:9" ht="15.75">
      <c r="B267" s="111"/>
      <c r="C267" s="111"/>
      <c r="D267" s="102"/>
      <c r="E267" s="130"/>
      <c r="F267" s="102"/>
      <c r="G267" s="122"/>
      <c r="H267" s="10"/>
      <c r="I267" s="10"/>
    </row>
    <row r="268" spans="2:9" ht="15.75">
      <c r="B268" s="111"/>
      <c r="C268" s="111"/>
      <c r="D268" s="102"/>
      <c r="E268" s="130"/>
      <c r="F268" s="102"/>
      <c r="G268" s="122"/>
      <c r="H268" s="10"/>
      <c r="I268" s="10"/>
    </row>
    <row r="269" spans="2:9" ht="15.75">
      <c r="B269" s="111"/>
      <c r="C269" s="111"/>
      <c r="D269" s="102"/>
      <c r="E269" s="130"/>
      <c r="F269" s="102"/>
      <c r="G269" s="122"/>
      <c r="H269" s="10"/>
      <c r="I269" s="10"/>
    </row>
    <row r="270" spans="2:9" ht="15.75">
      <c r="B270" s="111"/>
      <c r="C270" s="111"/>
      <c r="D270" s="102"/>
      <c r="E270" s="130"/>
      <c r="F270" s="102"/>
      <c r="G270" s="122"/>
      <c r="H270" s="10"/>
      <c r="I270" s="10"/>
    </row>
    <row r="271" spans="2:9" ht="15.75">
      <c r="B271" s="111"/>
      <c r="C271" s="111"/>
      <c r="D271" s="102"/>
      <c r="E271" s="130"/>
      <c r="F271" s="102"/>
      <c r="G271" s="122"/>
      <c r="H271" s="10"/>
      <c r="I271" s="10"/>
    </row>
    <row r="272" spans="2:9" ht="15.75">
      <c r="B272" s="111"/>
      <c r="C272" s="111"/>
      <c r="D272" s="102"/>
      <c r="E272" s="130"/>
      <c r="F272" s="102"/>
      <c r="G272" s="122"/>
      <c r="H272" s="10"/>
      <c r="I272" s="10"/>
    </row>
    <row r="273" spans="2:9" ht="15.75">
      <c r="B273" s="111"/>
      <c r="C273" s="111"/>
      <c r="D273" s="102"/>
      <c r="E273" s="130"/>
      <c r="F273" s="102"/>
      <c r="G273" s="122"/>
      <c r="H273" s="10"/>
      <c r="I273" s="10"/>
    </row>
    <row r="274" spans="2:9" ht="15.75">
      <c r="B274" s="111"/>
      <c r="C274" s="111"/>
      <c r="D274" s="102"/>
      <c r="E274" s="130"/>
      <c r="F274" s="102"/>
      <c r="G274" s="122"/>
      <c r="H274" s="10"/>
      <c r="I274" s="10"/>
    </row>
    <row r="275" spans="2:9" ht="15.75">
      <c r="B275" s="111"/>
      <c r="C275" s="111"/>
      <c r="D275" s="102"/>
      <c r="E275" s="130"/>
      <c r="F275" s="102"/>
      <c r="G275" s="122"/>
      <c r="H275" s="10"/>
      <c r="I275" s="10"/>
    </row>
    <row r="276" spans="2:9" ht="15.75">
      <c r="B276" s="111"/>
      <c r="C276" s="111"/>
      <c r="D276" s="102"/>
      <c r="E276" s="130"/>
      <c r="F276" s="102"/>
      <c r="G276" s="122"/>
      <c r="H276" s="10"/>
      <c r="I276" s="10"/>
    </row>
    <row r="277" spans="2:9" ht="15.75">
      <c r="B277" s="111"/>
      <c r="C277" s="111"/>
      <c r="D277" s="102"/>
      <c r="E277" s="130"/>
      <c r="F277" s="102"/>
      <c r="G277" s="122"/>
      <c r="H277" s="10"/>
      <c r="I277" s="10"/>
    </row>
    <row r="278" spans="2:9" ht="15.75">
      <c r="B278" s="111"/>
      <c r="C278" s="111"/>
      <c r="D278" s="102"/>
      <c r="E278" s="130"/>
      <c r="F278" s="102"/>
      <c r="G278" s="122"/>
      <c r="H278" s="10"/>
      <c r="I278" s="10"/>
    </row>
    <row r="279" spans="2:9" ht="15.75">
      <c r="B279" s="111"/>
      <c r="C279" s="111"/>
      <c r="D279" s="102"/>
      <c r="E279" s="130"/>
      <c r="F279" s="102"/>
      <c r="G279" s="122"/>
      <c r="H279" s="10"/>
      <c r="I279" s="10"/>
    </row>
    <row r="280" spans="2:9" ht="15.75">
      <c r="B280" s="111"/>
      <c r="C280" s="111"/>
      <c r="D280" s="102"/>
      <c r="E280" s="130"/>
      <c r="F280" s="102"/>
      <c r="G280" s="122"/>
      <c r="H280" s="10"/>
      <c r="I280" s="10"/>
    </row>
    <row r="281" spans="2:9" ht="15.75">
      <c r="B281" s="111"/>
      <c r="C281" s="111"/>
      <c r="D281" s="102"/>
      <c r="E281" s="130"/>
      <c r="F281" s="102"/>
      <c r="G281" s="122"/>
      <c r="H281" s="10"/>
      <c r="I281" s="10"/>
    </row>
    <row r="282" spans="2:9" ht="15.75">
      <c r="B282" s="111"/>
      <c r="C282" s="111"/>
      <c r="D282" s="102"/>
      <c r="E282" s="130"/>
      <c r="F282" s="102"/>
      <c r="G282" s="122"/>
      <c r="H282" s="10"/>
      <c r="I282" s="10"/>
    </row>
    <row r="283" spans="2:9" ht="15.75">
      <c r="B283" s="111"/>
      <c r="C283" s="111"/>
      <c r="D283" s="102"/>
      <c r="E283" s="130"/>
      <c r="F283" s="102"/>
      <c r="G283" s="122"/>
      <c r="H283" s="10"/>
      <c r="I283" s="10"/>
    </row>
    <row r="284" spans="2:9" ht="15.75">
      <c r="B284" s="111"/>
      <c r="C284" s="111"/>
      <c r="D284" s="102"/>
      <c r="E284" s="130"/>
      <c r="F284" s="102"/>
      <c r="G284" s="122"/>
      <c r="H284" s="10"/>
      <c r="I284" s="10"/>
    </row>
    <row r="285" spans="2:9" ht="15.75">
      <c r="B285" s="111"/>
      <c r="C285" s="111"/>
      <c r="D285" s="102"/>
      <c r="E285" s="130"/>
      <c r="F285" s="102"/>
      <c r="G285" s="122"/>
      <c r="H285" s="10"/>
      <c r="I285" s="10"/>
    </row>
    <row r="286" spans="2:9" ht="15.75">
      <c r="B286" s="111"/>
      <c r="C286" s="111"/>
      <c r="D286" s="102"/>
      <c r="E286" s="130"/>
      <c r="F286" s="102"/>
      <c r="G286" s="122"/>
      <c r="H286" s="10"/>
      <c r="I286" s="10"/>
    </row>
    <row r="287" spans="2:9" ht="15.75">
      <c r="B287" s="111"/>
      <c r="C287" s="111"/>
      <c r="D287" s="102"/>
      <c r="E287" s="130"/>
      <c r="F287" s="102"/>
      <c r="G287" s="122"/>
      <c r="H287" s="10"/>
      <c r="I287" s="10"/>
    </row>
    <row r="288" spans="2:9" ht="15.75">
      <c r="B288" s="111"/>
      <c r="C288" s="111"/>
      <c r="D288" s="102"/>
      <c r="E288" s="130"/>
      <c r="F288" s="102"/>
      <c r="G288" s="122"/>
      <c r="H288" s="10"/>
      <c r="I288" s="10"/>
    </row>
    <row r="289" spans="2:9" ht="15.75">
      <c r="B289" s="111"/>
      <c r="C289" s="111"/>
      <c r="D289" s="102"/>
      <c r="E289" s="130"/>
      <c r="F289" s="102"/>
      <c r="G289" s="122"/>
      <c r="H289" s="10"/>
      <c r="I289" s="10"/>
    </row>
    <row r="290" spans="2:9" ht="15.75">
      <c r="B290" s="111"/>
      <c r="C290" s="111"/>
      <c r="D290" s="102"/>
      <c r="E290" s="130"/>
      <c r="F290" s="102"/>
      <c r="G290" s="122"/>
      <c r="H290" s="10"/>
      <c r="I290" s="10"/>
    </row>
    <row r="291" spans="2:9" ht="15.75">
      <c r="B291" s="111"/>
      <c r="C291" s="111"/>
      <c r="D291" s="102"/>
      <c r="E291" s="130"/>
      <c r="F291" s="102"/>
      <c r="G291" s="122"/>
      <c r="H291" s="10"/>
      <c r="I291" s="10"/>
    </row>
    <row r="292" spans="2:9" ht="15.75">
      <c r="B292" s="111"/>
      <c r="C292" s="111"/>
      <c r="D292" s="102"/>
      <c r="E292" s="130"/>
      <c r="F292" s="102"/>
      <c r="G292" s="122"/>
      <c r="H292" s="10"/>
      <c r="I292" s="10"/>
    </row>
    <row r="293" spans="2:9" ht="15.75">
      <c r="B293" s="111"/>
      <c r="C293" s="111"/>
      <c r="D293" s="102"/>
      <c r="E293" s="130"/>
      <c r="F293" s="102"/>
      <c r="G293" s="122"/>
      <c r="H293" s="10"/>
      <c r="I293" s="10"/>
    </row>
    <row r="294" spans="2:9" ht="15.75">
      <c r="B294" s="111"/>
      <c r="C294" s="111"/>
      <c r="D294" s="102"/>
      <c r="E294" s="130"/>
      <c r="F294" s="102"/>
      <c r="G294" s="122"/>
      <c r="H294" s="10"/>
      <c r="I294" s="10"/>
    </row>
    <row r="295" spans="2:9" ht="15.75">
      <c r="B295" s="111"/>
      <c r="C295" s="111"/>
      <c r="D295" s="102"/>
      <c r="E295" s="130"/>
      <c r="F295" s="102"/>
      <c r="G295" s="122"/>
      <c r="H295" s="10"/>
      <c r="I295" s="10"/>
    </row>
    <row r="296" spans="2:9" ht="15.75">
      <c r="B296" s="111"/>
      <c r="C296" s="111"/>
      <c r="D296" s="102"/>
      <c r="E296" s="130"/>
      <c r="F296" s="102"/>
      <c r="G296" s="122"/>
      <c r="H296" s="10"/>
      <c r="I296" s="10"/>
    </row>
    <row r="297" spans="2:9" ht="15.75">
      <c r="B297" s="111"/>
      <c r="C297" s="111"/>
      <c r="D297" s="102"/>
      <c r="E297" s="130"/>
      <c r="F297" s="102"/>
      <c r="G297" s="122"/>
      <c r="H297" s="10"/>
      <c r="I297" s="10"/>
    </row>
    <row r="298" spans="2:9" ht="15.75">
      <c r="B298" s="111"/>
      <c r="C298" s="111"/>
      <c r="D298" s="102"/>
      <c r="E298" s="130"/>
      <c r="F298" s="102"/>
      <c r="G298" s="122"/>
      <c r="H298" s="10"/>
      <c r="I298" s="10"/>
    </row>
    <row r="299" spans="2:9" ht="15.75">
      <c r="B299" s="111"/>
      <c r="C299" s="111"/>
      <c r="D299" s="102"/>
      <c r="E299" s="130"/>
      <c r="F299" s="102"/>
      <c r="G299" s="122"/>
      <c r="H299" s="10"/>
      <c r="I299" s="10"/>
    </row>
    <row r="300" spans="2:9" ht="15.75">
      <c r="B300" s="111"/>
      <c r="C300" s="111"/>
      <c r="D300" s="102"/>
      <c r="E300" s="130"/>
      <c r="F300" s="102"/>
      <c r="G300" s="122"/>
      <c r="H300" s="10"/>
      <c r="I300" s="10"/>
    </row>
    <row r="301" spans="2:9" ht="15.75">
      <c r="B301" s="111"/>
      <c r="C301" s="111"/>
      <c r="D301" s="102"/>
      <c r="E301" s="130"/>
      <c r="F301" s="102"/>
      <c r="G301" s="122"/>
      <c r="H301" s="10"/>
      <c r="I301" s="10"/>
    </row>
    <row r="302" spans="2:9" ht="15.75">
      <c r="B302" s="111"/>
      <c r="C302" s="111"/>
      <c r="D302" s="102"/>
      <c r="E302" s="130"/>
      <c r="F302" s="102"/>
      <c r="G302" s="122"/>
      <c r="H302" s="10"/>
      <c r="I302" s="10"/>
    </row>
    <row r="303" spans="2:9" ht="15.75">
      <c r="B303" s="111"/>
      <c r="C303" s="111"/>
      <c r="D303" s="102"/>
      <c r="E303" s="130"/>
      <c r="F303" s="102"/>
      <c r="G303" s="122"/>
      <c r="H303" s="10"/>
      <c r="I303" s="10"/>
    </row>
    <row r="304" spans="2:9" ht="15.75">
      <c r="B304" s="111"/>
      <c r="C304" s="111"/>
      <c r="D304" s="102"/>
      <c r="E304" s="130"/>
      <c r="F304" s="102"/>
      <c r="G304" s="122"/>
      <c r="H304" s="10"/>
      <c r="I304" s="10"/>
    </row>
    <row r="305" spans="2:9" ht="15.75">
      <c r="B305" s="111"/>
      <c r="C305" s="111"/>
      <c r="D305" s="102"/>
      <c r="E305" s="130"/>
      <c r="F305" s="102"/>
      <c r="G305" s="122"/>
      <c r="H305" s="10"/>
      <c r="I305" s="10"/>
    </row>
    <row r="306" spans="2:9" ht="15.75">
      <c r="B306" s="111"/>
      <c r="C306" s="111"/>
      <c r="D306" s="102"/>
      <c r="E306" s="130"/>
      <c r="F306" s="102"/>
      <c r="G306" s="122"/>
      <c r="H306" s="10"/>
      <c r="I306" s="10"/>
    </row>
    <row r="307" spans="2:9" ht="15.75">
      <c r="B307" s="111"/>
      <c r="C307" s="111"/>
      <c r="D307" s="102"/>
      <c r="E307" s="130"/>
      <c r="F307" s="102"/>
      <c r="G307" s="122"/>
      <c r="H307" s="10"/>
      <c r="I307" s="10"/>
    </row>
    <row r="308" spans="2:9" ht="15.75">
      <c r="B308" s="111"/>
      <c r="C308" s="111"/>
      <c r="D308" s="102"/>
      <c r="E308" s="130"/>
      <c r="F308" s="102"/>
      <c r="G308" s="122"/>
      <c r="H308" s="10"/>
      <c r="I308" s="10"/>
    </row>
    <row r="309" spans="2:9" ht="15.75">
      <c r="B309" s="111"/>
      <c r="C309" s="111"/>
      <c r="D309" s="102"/>
      <c r="E309" s="130"/>
      <c r="F309" s="102"/>
      <c r="G309" s="122"/>
      <c r="H309" s="10"/>
      <c r="I309" s="10"/>
    </row>
    <row r="310" spans="2:9" ht="15.75">
      <c r="B310" s="111"/>
      <c r="C310" s="111"/>
      <c r="D310" s="102"/>
      <c r="E310" s="130"/>
      <c r="F310" s="102"/>
      <c r="G310" s="122"/>
      <c r="H310" s="10"/>
      <c r="I310" s="10"/>
    </row>
    <row r="311" spans="2:9" ht="15.75">
      <c r="B311" s="111"/>
      <c r="C311" s="111"/>
      <c r="D311" s="102"/>
      <c r="E311" s="130"/>
      <c r="F311" s="102"/>
      <c r="G311" s="122"/>
      <c r="H311" s="10"/>
      <c r="I311" s="10"/>
    </row>
    <row r="312" spans="2:9" ht="15.75">
      <c r="B312" s="111"/>
      <c r="C312" s="111"/>
      <c r="D312" s="102"/>
      <c r="E312" s="130"/>
      <c r="F312" s="102"/>
      <c r="G312" s="122"/>
      <c r="H312" s="10"/>
      <c r="I312" s="10"/>
    </row>
    <row r="313" spans="2:9" ht="15.75">
      <c r="B313" s="111"/>
      <c r="C313" s="111"/>
      <c r="D313" s="102"/>
      <c r="E313" s="130"/>
      <c r="F313" s="102"/>
      <c r="G313" s="122"/>
      <c r="H313" s="10"/>
      <c r="I313" s="10"/>
    </row>
    <row r="314" spans="2:9" ht="15.75">
      <c r="B314" s="111"/>
      <c r="C314" s="111"/>
      <c r="D314" s="102"/>
      <c r="E314" s="130"/>
      <c r="F314" s="102"/>
      <c r="G314" s="122"/>
      <c r="H314" s="10"/>
      <c r="I314" s="10"/>
    </row>
    <row r="315" spans="2:9" ht="15.75">
      <c r="B315" s="111"/>
      <c r="C315" s="111"/>
      <c r="D315" s="102"/>
      <c r="E315" s="130"/>
      <c r="F315" s="102"/>
      <c r="G315" s="122"/>
      <c r="H315" s="10"/>
      <c r="I315" s="10"/>
    </row>
    <row r="316" spans="2:9" ht="15.75">
      <c r="B316" s="111"/>
      <c r="C316" s="111"/>
      <c r="D316" s="102"/>
      <c r="E316" s="130"/>
      <c r="F316" s="102"/>
      <c r="G316" s="122"/>
      <c r="H316" s="10"/>
      <c r="I316" s="10"/>
    </row>
    <row r="317" spans="2:9" ht="15.75">
      <c r="B317" s="111"/>
      <c r="C317" s="111"/>
      <c r="D317" s="102"/>
      <c r="E317" s="130"/>
      <c r="F317" s="102"/>
      <c r="G317" s="122"/>
      <c r="H317" s="10"/>
      <c r="I317" s="10"/>
    </row>
    <row r="318" spans="2:9" ht="15.75">
      <c r="B318" s="111"/>
      <c r="C318" s="111"/>
      <c r="D318" s="102"/>
      <c r="E318" s="130"/>
      <c r="F318" s="102"/>
      <c r="G318" s="122"/>
      <c r="H318" s="10"/>
      <c r="I318" s="10"/>
    </row>
    <row r="319" spans="2:9" ht="15.75">
      <c r="B319" s="111"/>
      <c r="C319" s="111"/>
      <c r="D319" s="102"/>
      <c r="E319" s="130"/>
      <c r="F319" s="102"/>
      <c r="G319" s="122"/>
      <c r="H319" s="10"/>
      <c r="I319" s="10"/>
    </row>
    <row r="320" spans="2:9" ht="15.75">
      <c r="B320" s="111"/>
      <c r="C320" s="111"/>
      <c r="D320" s="102"/>
      <c r="E320" s="130"/>
      <c r="F320" s="102"/>
      <c r="G320" s="122"/>
      <c r="H320" s="10"/>
      <c r="I320" s="10"/>
    </row>
    <row r="321" spans="2:9" ht="15.75">
      <c r="B321" s="111"/>
      <c r="C321" s="111"/>
      <c r="D321" s="102"/>
      <c r="E321" s="130"/>
      <c r="F321" s="102"/>
      <c r="G321" s="122"/>
      <c r="H321" s="10"/>
      <c r="I321" s="10"/>
    </row>
    <row r="322" spans="2:9" ht="15.75">
      <c r="B322" s="111"/>
      <c r="C322" s="111"/>
      <c r="D322" s="102"/>
      <c r="E322" s="130"/>
      <c r="F322" s="102"/>
      <c r="G322" s="122"/>
      <c r="H322" s="10"/>
      <c r="I322" s="10"/>
    </row>
    <row r="323" spans="2:9" ht="15.75">
      <c r="B323" s="111"/>
      <c r="C323" s="111"/>
      <c r="D323" s="102"/>
      <c r="E323" s="130"/>
      <c r="F323" s="102"/>
      <c r="G323" s="122"/>
      <c r="H323" s="10"/>
      <c r="I323" s="10"/>
    </row>
    <row r="324" spans="2:9" ht="15.75">
      <c r="B324" s="111"/>
      <c r="C324" s="111"/>
      <c r="D324" s="102"/>
      <c r="E324" s="130"/>
      <c r="F324" s="102"/>
      <c r="G324" s="122"/>
      <c r="H324" s="10"/>
      <c r="I324" s="10"/>
    </row>
    <row r="325" spans="2:9" ht="15.75">
      <c r="B325" s="111"/>
      <c r="C325" s="111"/>
      <c r="D325" s="102"/>
      <c r="E325" s="130"/>
      <c r="F325" s="102"/>
      <c r="G325" s="122"/>
      <c r="H325" s="10"/>
      <c r="I325" s="10"/>
    </row>
    <row r="326" spans="2:9" ht="15.75">
      <c r="B326" s="111"/>
      <c r="C326" s="111"/>
      <c r="D326" s="102"/>
      <c r="E326" s="130"/>
      <c r="F326" s="102"/>
      <c r="G326" s="122"/>
      <c r="H326" s="10"/>
      <c r="I326" s="10"/>
    </row>
    <row r="327" spans="2:9" ht="15.75">
      <c r="B327" s="111"/>
      <c r="C327" s="111"/>
      <c r="D327" s="102"/>
      <c r="E327" s="130"/>
      <c r="F327" s="102"/>
      <c r="G327" s="122"/>
      <c r="H327" s="10"/>
      <c r="I327" s="10"/>
    </row>
    <row r="328" spans="2:9" ht="15.75">
      <c r="B328" s="111"/>
      <c r="C328" s="111"/>
      <c r="D328" s="102"/>
      <c r="E328" s="130"/>
      <c r="F328" s="102"/>
      <c r="G328" s="122"/>
      <c r="H328" s="10"/>
      <c r="I328" s="10"/>
    </row>
    <row r="329" spans="2:9" ht="15.75">
      <c r="B329" s="111"/>
      <c r="C329" s="111"/>
      <c r="D329" s="102"/>
      <c r="E329" s="130"/>
      <c r="F329" s="102"/>
      <c r="G329" s="122"/>
      <c r="H329" s="10"/>
      <c r="I329" s="10"/>
    </row>
    <row r="330" spans="2:9" ht="15.75">
      <c r="B330" s="111"/>
      <c r="C330" s="111"/>
      <c r="D330" s="102"/>
      <c r="E330" s="130"/>
      <c r="F330" s="102"/>
      <c r="G330" s="122"/>
      <c r="H330" s="10"/>
      <c r="I330" s="10"/>
    </row>
    <row r="331" spans="2:9" ht="15.75">
      <c r="B331" s="111"/>
      <c r="C331" s="111"/>
      <c r="D331" s="102"/>
      <c r="E331" s="130"/>
      <c r="F331" s="102"/>
      <c r="G331" s="122"/>
      <c r="H331" s="10"/>
      <c r="I331" s="10"/>
    </row>
    <row r="332" spans="2:9" ht="15.75">
      <c r="B332" s="111"/>
      <c r="C332" s="111"/>
      <c r="D332" s="102"/>
      <c r="E332" s="130"/>
      <c r="F332" s="102"/>
      <c r="G332" s="122"/>
      <c r="H332" s="10"/>
      <c r="I332" s="10"/>
    </row>
    <row r="333" spans="2:9" ht="15.75">
      <c r="B333" s="111"/>
      <c r="C333" s="111"/>
      <c r="D333" s="102"/>
      <c r="E333" s="130"/>
      <c r="F333" s="102"/>
      <c r="G333" s="122"/>
      <c r="H333" s="10"/>
      <c r="I333" s="10"/>
    </row>
    <row r="334" spans="2:9" ht="15.75">
      <c r="B334" s="111"/>
      <c r="C334" s="111"/>
      <c r="D334" s="102"/>
      <c r="E334" s="130"/>
      <c r="F334" s="102"/>
      <c r="G334" s="122"/>
      <c r="H334" s="10"/>
      <c r="I334" s="10"/>
    </row>
    <row r="335" spans="2:9" ht="15.75">
      <c r="B335" s="111"/>
      <c r="C335" s="111"/>
      <c r="D335" s="102"/>
      <c r="E335" s="130"/>
      <c r="F335" s="102"/>
      <c r="G335" s="122"/>
      <c r="H335" s="10"/>
      <c r="I335" s="10"/>
    </row>
    <row r="336" spans="2:9" ht="15.75">
      <c r="B336" s="111"/>
      <c r="C336" s="111"/>
      <c r="D336" s="102"/>
      <c r="E336" s="130"/>
      <c r="F336" s="102"/>
      <c r="G336" s="122"/>
      <c r="H336" s="10"/>
      <c r="I336" s="10"/>
    </row>
    <row r="337" spans="2:9" ht="15.75">
      <c r="B337" s="111"/>
      <c r="C337" s="111"/>
      <c r="D337" s="102"/>
      <c r="E337" s="130"/>
      <c r="F337" s="102"/>
      <c r="G337" s="122"/>
      <c r="H337" s="10"/>
      <c r="I337" s="10"/>
    </row>
    <row r="338" spans="2:9" ht="15.75">
      <c r="B338" s="111"/>
      <c r="C338" s="111"/>
      <c r="D338" s="102"/>
      <c r="E338" s="130"/>
      <c r="F338" s="102"/>
      <c r="G338" s="122"/>
      <c r="H338" s="10"/>
      <c r="I338" s="10"/>
    </row>
    <row r="339" spans="2:9" ht="15.75">
      <c r="B339" s="111"/>
      <c r="C339" s="111"/>
      <c r="D339" s="102"/>
      <c r="E339" s="130"/>
      <c r="F339" s="102"/>
      <c r="G339" s="122"/>
      <c r="H339" s="10"/>
      <c r="I339" s="10"/>
    </row>
    <row r="340" spans="2:9" ht="15.75">
      <c r="B340" s="111"/>
      <c r="C340" s="111"/>
      <c r="D340" s="102"/>
      <c r="E340" s="130"/>
      <c r="F340" s="102"/>
      <c r="G340" s="122"/>
      <c r="H340" s="10"/>
      <c r="I340" s="10"/>
    </row>
    <row r="341" spans="2:9" ht="15.75">
      <c r="B341" s="111"/>
      <c r="C341" s="111"/>
      <c r="D341" s="102"/>
      <c r="E341" s="130"/>
      <c r="F341" s="102"/>
      <c r="G341" s="122"/>
      <c r="H341" s="10"/>
      <c r="I341" s="10"/>
    </row>
    <row r="342" spans="2:9" ht="15.75">
      <c r="B342" s="111"/>
      <c r="C342" s="111"/>
      <c r="D342" s="102"/>
      <c r="E342" s="130"/>
      <c r="F342" s="102"/>
      <c r="G342" s="122"/>
      <c r="H342" s="10"/>
      <c r="I342" s="10"/>
    </row>
    <row r="343" spans="2:9" ht="15.75">
      <c r="B343" s="111"/>
      <c r="C343" s="111"/>
      <c r="D343" s="102"/>
      <c r="E343" s="130"/>
      <c r="F343" s="102"/>
      <c r="G343" s="122"/>
      <c r="H343" s="10"/>
      <c r="I343" s="10"/>
    </row>
    <row r="344" spans="2:9" ht="15.75">
      <c r="B344" s="111"/>
      <c r="C344" s="111"/>
      <c r="D344" s="102"/>
      <c r="E344" s="130"/>
      <c r="F344" s="102"/>
      <c r="G344" s="122"/>
      <c r="H344" s="10"/>
      <c r="I344" s="10"/>
    </row>
    <row r="345" spans="2:9" ht="15.75">
      <c r="B345" s="111"/>
      <c r="C345" s="111"/>
      <c r="D345" s="102"/>
      <c r="E345" s="130"/>
      <c r="F345" s="102"/>
      <c r="G345" s="122"/>
      <c r="H345" s="10"/>
      <c r="I345" s="10"/>
    </row>
    <row r="346" spans="2:9" ht="15.75">
      <c r="B346" s="111"/>
      <c r="C346" s="111"/>
      <c r="D346" s="102"/>
      <c r="E346" s="130"/>
      <c r="F346" s="102"/>
      <c r="G346" s="122"/>
      <c r="H346" s="10"/>
      <c r="I346" s="10"/>
    </row>
    <row r="347" spans="2:9" ht="15.75">
      <c r="B347" s="111"/>
      <c r="C347" s="111"/>
      <c r="D347" s="102"/>
      <c r="E347" s="130"/>
      <c r="F347" s="102"/>
      <c r="G347" s="122"/>
      <c r="H347" s="10"/>
      <c r="I347" s="10"/>
    </row>
    <row r="348" spans="2:9" ht="15.75">
      <c r="B348" s="111"/>
      <c r="C348" s="111"/>
      <c r="D348" s="102"/>
      <c r="E348" s="130"/>
      <c r="F348" s="102"/>
      <c r="G348" s="122"/>
      <c r="H348" s="10"/>
      <c r="I348" s="10"/>
    </row>
    <row r="349" spans="2:9" ht="15.75">
      <c r="B349" s="111"/>
      <c r="C349" s="111"/>
      <c r="D349" s="102"/>
      <c r="E349" s="130"/>
      <c r="F349" s="102"/>
      <c r="G349" s="122"/>
      <c r="H349" s="10"/>
      <c r="I349" s="10"/>
    </row>
    <row r="350" spans="2:9" ht="15.75">
      <c r="B350" s="111"/>
      <c r="C350" s="111"/>
      <c r="D350" s="102"/>
      <c r="E350" s="130"/>
      <c r="F350" s="102"/>
      <c r="G350" s="122"/>
      <c r="H350" s="10"/>
      <c r="I350" s="10"/>
    </row>
    <row r="351" spans="2:9" ht="15.75">
      <c r="B351" s="111"/>
      <c r="C351" s="111"/>
      <c r="D351" s="102"/>
      <c r="E351" s="130"/>
      <c r="F351" s="102"/>
      <c r="G351" s="122"/>
      <c r="H351" s="10"/>
      <c r="I351" s="10"/>
    </row>
    <row r="352" spans="2:9" ht="15.75">
      <c r="B352" s="111"/>
      <c r="C352" s="111"/>
      <c r="D352" s="102"/>
      <c r="E352" s="130"/>
      <c r="F352" s="102"/>
      <c r="G352" s="122"/>
      <c r="H352" s="10"/>
      <c r="I352" s="10"/>
    </row>
    <row r="353" spans="2:9" ht="15.75">
      <c r="B353" s="111"/>
      <c r="C353" s="111"/>
      <c r="D353" s="102"/>
      <c r="E353" s="130"/>
      <c r="F353" s="102"/>
      <c r="G353" s="122"/>
      <c r="H353" s="10"/>
      <c r="I353" s="10"/>
    </row>
    <row r="354" spans="2:9" ht="15.75">
      <c r="B354" s="111"/>
      <c r="C354" s="111"/>
      <c r="D354" s="102"/>
      <c r="E354" s="130"/>
      <c r="F354" s="102"/>
      <c r="G354" s="122"/>
      <c r="H354" s="10"/>
      <c r="I354" s="10"/>
    </row>
    <row r="355" spans="2:9" ht="15.75">
      <c r="B355" s="111"/>
      <c r="C355" s="111"/>
      <c r="D355" s="102"/>
      <c r="E355" s="130"/>
      <c r="F355" s="102"/>
      <c r="G355" s="122"/>
      <c r="H355" s="10"/>
      <c r="I355" s="10"/>
    </row>
    <row r="356" spans="2:9" ht="15.75">
      <c r="B356" s="111"/>
      <c r="C356" s="111"/>
      <c r="D356" s="102"/>
      <c r="E356" s="130"/>
      <c r="F356" s="102"/>
      <c r="G356" s="122"/>
      <c r="H356" s="10"/>
      <c r="I356" s="10"/>
    </row>
    <row r="357" spans="2:9" ht="15.75">
      <c r="B357" s="111"/>
      <c r="C357" s="111"/>
      <c r="D357" s="102"/>
      <c r="E357" s="130"/>
      <c r="F357" s="102"/>
      <c r="G357" s="122"/>
      <c r="H357" s="10"/>
      <c r="I357" s="10"/>
    </row>
    <row r="358" spans="2:9" ht="15.75">
      <c r="B358" s="111"/>
      <c r="C358" s="111"/>
      <c r="D358" s="102"/>
      <c r="E358" s="130"/>
      <c r="F358" s="102"/>
      <c r="G358" s="122"/>
      <c r="H358" s="10"/>
      <c r="I358" s="10"/>
    </row>
    <row r="359" spans="2:9" ht="15.75">
      <c r="B359" s="111"/>
      <c r="C359" s="111"/>
      <c r="D359" s="102"/>
      <c r="E359" s="130"/>
      <c r="F359" s="102"/>
      <c r="G359" s="122"/>
      <c r="H359" s="10"/>
      <c r="I359" s="10"/>
    </row>
    <row r="360" spans="2:9" ht="15.75">
      <c r="B360" s="111"/>
      <c r="C360" s="111"/>
      <c r="D360" s="102"/>
      <c r="E360" s="130"/>
      <c r="F360" s="102"/>
      <c r="G360" s="122"/>
      <c r="H360" s="10"/>
      <c r="I360" s="10"/>
    </row>
    <row r="361" spans="2:9" ht="15.75">
      <c r="B361" s="111"/>
      <c r="C361" s="111"/>
      <c r="D361" s="102"/>
      <c r="E361" s="130"/>
      <c r="F361" s="102"/>
      <c r="G361" s="122"/>
      <c r="H361" s="10"/>
      <c r="I361" s="10"/>
    </row>
    <row r="362" spans="2:9" ht="15.75">
      <c r="B362" s="111"/>
      <c r="C362" s="111"/>
      <c r="D362" s="102"/>
      <c r="E362" s="130"/>
      <c r="F362" s="102"/>
      <c r="G362" s="122"/>
      <c r="H362" s="10"/>
      <c r="I362" s="10"/>
    </row>
    <row r="363" spans="2:9" ht="15.75">
      <c r="B363" s="111"/>
      <c r="C363" s="111"/>
      <c r="D363" s="102"/>
      <c r="E363" s="130"/>
      <c r="F363" s="102"/>
      <c r="G363" s="122"/>
      <c r="H363" s="10"/>
      <c r="I363" s="10"/>
    </row>
    <row r="364" spans="2:9" ht="15.75">
      <c r="B364" s="111"/>
      <c r="C364" s="111"/>
      <c r="D364" s="102"/>
      <c r="E364" s="130"/>
      <c r="F364" s="102"/>
      <c r="G364" s="122"/>
      <c r="H364" s="10"/>
      <c r="I364" s="10"/>
    </row>
    <row r="365" spans="2:9" ht="15.75">
      <c r="B365" s="111"/>
      <c r="C365" s="111"/>
      <c r="D365" s="102"/>
      <c r="E365" s="130"/>
      <c r="F365" s="102"/>
      <c r="G365" s="122"/>
      <c r="H365" s="10"/>
      <c r="I365" s="10"/>
    </row>
    <row r="366" spans="2:9" ht="15.75">
      <c r="B366" s="111"/>
      <c r="C366" s="111"/>
      <c r="D366" s="102"/>
      <c r="E366" s="130"/>
      <c r="F366" s="102"/>
      <c r="G366" s="122"/>
      <c r="H366" s="10"/>
      <c r="I366" s="10"/>
    </row>
    <row r="367" spans="2:9" ht="15.75">
      <c r="B367" s="111"/>
      <c r="C367" s="111"/>
      <c r="D367" s="102"/>
      <c r="E367" s="130"/>
      <c r="F367" s="102"/>
      <c r="G367" s="122"/>
      <c r="H367" s="10"/>
      <c r="I367" s="10"/>
    </row>
    <row r="368" spans="2:9" ht="15.75">
      <c r="B368" s="111"/>
      <c r="C368" s="111"/>
      <c r="D368" s="102"/>
      <c r="E368" s="130"/>
      <c r="F368" s="102"/>
      <c r="G368" s="122"/>
      <c r="H368" s="10"/>
      <c r="I368" s="10"/>
    </row>
    <row r="369" spans="2:9" ht="15.75">
      <c r="B369" s="111"/>
      <c r="C369" s="111"/>
      <c r="D369" s="102"/>
      <c r="E369" s="130"/>
      <c r="F369" s="102"/>
      <c r="G369" s="122"/>
      <c r="H369" s="10"/>
      <c r="I369" s="10"/>
    </row>
    <row r="370" spans="2:9" ht="15.75">
      <c r="B370" s="111"/>
      <c r="C370" s="111"/>
      <c r="D370" s="102"/>
      <c r="E370" s="130"/>
      <c r="F370" s="102"/>
      <c r="G370" s="122"/>
      <c r="H370" s="10"/>
      <c r="I370" s="10"/>
    </row>
    <row r="371" spans="2:9" ht="15.75">
      <c r="B371" s="111"/>
      <c r="C371" s="111"/>
      <c r="D371" s="102"/>
      <c r="E371" s="130"/>
      <c r="F371" s="102"/>
      <c r="G371" s="122"/>
      <c r="H371" s="10"/>
      <c r="I371" s="10"/>
    </row>
    <row r="372" spans="2:9" ht="15.75">
      <c r="B372" s="111"/>
      <c r="C372" s="111"/>
      <c r="D372" s="102"/>
      <c r="E372" s="130"/>
      <c r="F372" s="102"/>
      <c r="G372" s="122"/>
      <c r="H372" s="10"/>
      <c r="I372" s="10"/>
    </row>
    <row r="373" spans="2:9" ht="15.75">
      <c r="B373" s="111"/>
      <c r="C373" s="111"/>
      <c r="D373" s="102"/>
      <c r="E373" s="130"/>
      <c r="F373" s="102"/>
      <c r="G373" s="122"/>
      <c r="H373" s="10"/>
      <c r="I373" s="10"/>
    </row>
    <row r="374" spans="2:9" ht="15.75">
      <c r="B374" s="111"/>
      <c r="C374" s="111"/>
      <c r="D374" s="102"/>
      <c r="E374" s="130"/>
      <c r="F374" s="102"/>
      <c r="G374" s="122"/>
      <c r="H374" s="10"/>
      <c r="I374" s="10"/>
    </row>
    <row r="375" spans="2:9" ht="15.75">
      <c r="B375" s="111"/>
      <c r="C375" s="111"/>
      <c r="D375" s="102"/>
      <c r="E375" s="130"/>
      <c r="F375" s="102"/>
      <c r="G375" s="122"/>
      <c r="H375" s="10"/>
      <c r="I375" s="10"/>
    </row>
    <row r="376" spans="2:9" ht="15.75">
      <c r="B376" s="111"/>
      <c r="C376" s="111"/>
      <c r="D376" s="102"/>
      <c r="E376" s="130"/>
      <c r="F376" s="102"/>
      <c r="G376" s="122"/>
      <c r="H376" s="10"/>
      <c r="I376" s="10"/>
    </row>
    <row r="377" spans="2:9" ht="15.75">
      <c r="B377" s="111"/>
      <c r="C377" s="111"/>
      <c r="D377" s="102"/>
      <c r="E377" s="130"/>
      <c r="F377" s="102"/>
      <c r="G377" s="122"/>
      <c r="H377" s="10"/>
      <c r="I377" s="10"/>
    </row>
    <row r="378" spans="2:9" ht="15.75">
      <c r="B378" s="111"/>
      <c r="C378" s="111"/>
      <c r="D378" s="102"/>
      <c r="E378" s="130"/>
      <c r="F378" s="102"/>
      <c r="G378" s="122"/>
      <c r="H378" s="10"/>
      <c r="I378" s="10"/>
    </row>
    <row r="379" spans="2:9" ht="15.75">
      <c r="B379" s="111"/>
      <c r="C379" s="111"/>
      <c r="D379" s="102"/>
      <c r="E379" s="130"/>
      <c r="F379" s="102"/>
      <c r="G379" s="122"/>
      <c r="H379" s="10"/>
      <c r="I379" s="10"/>
    </row>
    <row r="380" spans="2:9" ht="15.75">
      <c r="B380" s="111"/>
      <c r="C380" s="111"/>
      <c r="D380" s="102"/>
      <c r="E380" s="130"/>
      <c r="F380" s="102"/>
      <c r="G380" s="122"/>
      <c r="H380" s="10"/>
      <c r="I380" s="10"/>
    </row>
    <row r="381" spans="2:9" ht="15.75">
      <c r="B381" s="111"/>
      <c r="C381" s="111"/>
      <c r="D381" s="102"/>
      <c r="E381" s="130"/>
      <c r="F381" s="102"/>
      <c r="G381" s="122"/>
      <c r="H381" s="10"/>
      <c r="I381" s="10"/>
    </row>
    <row r="382" spans="2:9" ht="15.75">
      <c r="B382" s="111"/>
      <c r="C382" s="111"/>
      <c r="D382" s="102"/>
      <c r="E382" s="130"/>
      <c r="F382" s="102"/>
      <c r="G382" s="122"/>
      <c r="H382" s="10"/>
      <c r="I382" s="10"/>
    </row>
    <row r="383" spans="2:9" ht="15.75">
      <c r="B383" s="111"/>
      <c r="C383" s="111"/>
      <c r="D383" s="102"/>
      <c r="E383" s="130"/>
      <c r="F383" s="102"/>
      <c r="G383" s="122"/>
      <c r="H383" s="10"/>
      <c r="I383" s="10"/>
    </row>
    <row r="384" spans="2:9" ht="15.75">
      <c r="B384" s="111"/>
      <c r="C384" s="111"/>
      <c r="D384" s="102"/>
      <c r="E384" s="130"/>
      <c r="F384" s="102"/>
      <c r="G384" s="122"/>
      <c r="H384" s="10"/>
      <c r="I384" s="10"/>
    </row>
    <row r="385" spans="2:9" ht="15.75">
      <c r="B385" s="111"/>
      <c r="C385" s="111"/>
      <c r="D385" s="102"/>
      <c r="E385" s="130"/>
      <c r="F385" s="102"/>
      <c r="G385" s="122"/>
      <c r="H385" s="10"/>
      <c r="I385" s="10"/>
    </row>
    <row r="386" spans="2:9" ht="15.75">
      <c r="B386" s="111"/>
      <c r="C386" s="111"/>
      <c r="D386" s="102"/>
      <c r="E386" s="130"/>
      <c r="F386" s="102"/>
      <c r="G386" s="122"/>
      <c r="H386" s="10"/>
      <c r="I386" s="10"/>
    </row>
    <row r="387" spans="2:9" ht="15.75">
      <c r="B387" s="111"/>
      <c r="C387" s="111"/>
      <c r="D387" s="102"/>
      <c r="E387" s="130"/>
      <c r="F387" s="102"/>
      <c r="G387" s="122"/>
      <c r="H387" s="10"/>
      <c r="I387" s="10"/>
    </row>
    <row r="388" spans="2:9" ht="15.75">
      <c r="B388" s="111"/>
      <c r="C388" s="111"/>
      <c r="D388" s="102"/>
      <c r="E388" s="130"/>
      <c r="F388" s="102"/>
      <c r="G388" s="122"/>
      <c r="H388" s="10"/>
      <c r="I388" s="10"/>
    </row>
    <row r="389" spans="2:9" ht="15.75">
      <c r="B389" s="111"/>
      <c r="C389" s="111"/>
      <c r="D389" s="102"/>
      <c r="E389" s="130"/>
      <c r="F389" s="102"/>
      <c r="G389" s="122"/>
      <c r="H389" s="10"/>
      <c r="I389" s="10"/>
    </row>
    <row r="390" spans="2:9" ht="15.75">
      <c r="B390" s="111"/>
      <c r="C390" s="111"/>
      <c r="D390" s="102"/>
      <c r="E390" s="130"/>
      <c r="F390" s="102"/>
      <c r="G390" s="122"/>
      <c r="H390" s="10"/>
      <c r="I390" s="10"/>
    </row>
    <row r="391" spans="2:9" ht="15.75">
      <c r="B391" s="111"/>
      <c r="C391" s="111"/>
      <c r="D391" s="102"/>
      <c r="E391" s="130"/>
      <c r="F391" s="102"/>
      <c r="G391" s="122"/>
      <c r="H391" s="10"/>
      <c r="I391" s="10"/>
    </row>
    <row r="392" spans="2:9" ht="15.75">
      <c r="B392" s="111"/>
      <c r="C392" s="111"/>
      <c r="D392" s="102"/>
      <c r="E392" s="130"/>
      <c r="F392" s="102"/>
      <c r="G392" s="122"/>
      <c r="H392" s="10"/>
      <c r="I392" s="10"/>
    </row>
    <row r="393" spans="2:9" ht="15.75">
      <c r="B393" s="111"/>
      <c r="C393" s="111"/>
      <c r="D393" s="102"/>
      <c r="E393" s="130"/>
      <c r="F393" s="102"/>
      <c r="G393" s="122"/>
      <c r="H393" s="10"/>
      <c r="I393" s="10"/>
    </row>
    <row r="394" spans="2:9" ht="15.75">
      <c r="B394" s="111"/>
      <c r="C394" s="111"/>
      <c r="D394" s="102"/>
      <c r="E394" s="130"/>
      <c r="F394" s="102"/>
      <c r="G394" s="122"/>
      <c r="H394" s="10"/>
      <c r="I394" s="10"/>
    </row>
    <row r="395" spans="2:9" ht="15.75">
      <c r="B395" s="111"/>
      <c r="C395" s="111"/>
      <c r="D395" s="102"/>
      <c r="E395" s="130"/>
      <c r="F395" s="102"/>
      <c r="G395" s="122"/>
      <c r="H395" s="10"/>
      <c r="I395" s="10"/>
    </row>
    <row r="396" spans="2:9" ht="15.75">
      <c r="B396" s="111"/>
      <c r="C396" s="111"/>
      <c r="D396" s="102"/>
      <c r="E396" s="130"/>
      <c r="F396" s="102"/>
      <c r="G396" s="122"/>
      <c r="H396" s="10"/>
      <c r="I396" s="10"/>
    </row>
    <row r="397" spans="2:9" ht="15.75">
      <c r="B397" s="111"/>
      <c r="C397" s="111"/>
      <c r="D397" s="102"/>
      <c r="E397" s="130"/>
      <c r="F397" s="102"/>
      <c r="G397" s="122"/>
      <c r="H397" s="10"/>
      <c r="I397" s="10"/>
    </row>
    <row r="398" spans="2:9" ht="15.75">
      <c r="B398" s="111"/>
      <c r="C398" s="111"/>
      <c r="D398" s="102"/>
      <c r="E398" s="130"/>
      <c r="F398" s="102"/>
      <c r="G398" s="122"/>
      <c r="H398" s="10"/>
      <c r="I398" s="10"/>
    </row>
    <row r="399" spans="2:9" ht="15.75">
      <c r="B399" s="111"/>
      <c r="C399" s="111"/>
      <c r="D399" s="102"/>
      <c r="E399" s="130"/>
      <c r="F399" s="102"/>
      <c r="G399" s="122"/>
      <c r="H399" s="10"/>
      <c r="I399" s="10"/>
    </row>
    <row r="400" spans="2:9" ht="15.75">
      <c r="B400" s="111"/>
      <c r="C400" s="111"/>
      <c r="D400" s="102"/>
      <c r="E400" s="130"/>
      <c r="F400" s="102"/>
      <c r="G400" s="122"/>
      <c r="H400" s="10"/>
      <c r="I400" s="10"/>
    </row>
    <row r="401" spans="2:9" ht="15.75">
      <c r="B401" s="111"/>
      <c r="C401" s="111"/>
      <c r="D401" s="102"/>
      <c r="E401" s="130"/>
      <c r="F401" s="102"/>
      <c r="G401" s="122"/>
      <c r="H401" s="10"/>
      <c r="I401" s="10"/>
    </row>
    <row r="402" spans="2:9" ht="15.75">
      <c r="B402" s="111"/>
      <c r="C402" s="111"/>
      <c r="D402" s="102"/>
      <c r="E402" s="130"/>
      <c r="F402" s="102"/>
      <c r="G402" s="122"/>
      <c r="H402" s="10"/>
      <c r="I402" s="10"/>
    </row>
    <row r="403" spans="2:9" ht="15.75">
      <c r="B403" s="111"/>
      <c r="C403" s="111"/>
      <c r="D403" s="102"/>
      <c r="E403" s="130"/>
      <c r="F403" s="102"/>
      <c r="G403" s="122"/>
      <c r="H403" s="10"/>
      <c r="I403" s="10"/>
    </row>
    <row r="404" spans="2:9" ht="15.75">
      <c r="B404" s="111"/>
      <c r="C404" s="111"/>
      <c r="D404" s="102"/>
      <c r="E404" s="130"/>
      <c r="F404" s="102"/>
      <c r="G404" s="122"/>
      <c r="H404" s="10"/>
      <c r="I404" s="10"/>
    </row>
    <row r="405" spans="2:9" ht="15.75">
      <c r="B405" s="111"/>
      <c r="C405" s="111"/>
      <c r="D405" s="102"/>
      <c r="E405" s="130"/>
      <c r="F405" s="102"/>
      <c r="G405" s="122"/>
      <c r="H405" s="10"/>
      <c r="I405" s="10"/>
    </row>
    <row r="406" spans="2:9" ht="15.75">
      <c r="B406" s="111"/>
      <c r="C406" s="111"/>
      <c r="D406" s="102"/>
      <c r="E406" s="130"/>
      <c r="F406" s="102"/>
      <c r="G406" s="122"/>
      <c r="H406" s="10"/>
      <c r="I406" s="10"/>
    </row>
    <row r="407" spans="2:9" ht="15.75">
      <c r="B407" s="111"/>
      <c r="C407" s="111"/>
      <c r="D407" s="102"/>
      <c r="E407" s="130"/>
      <c r="F407" s="102"/>
      <c r="G407" s="122"/>
      <c r="H407" s="10"/>
      <c r="I407" s="10"/>
    </row>
    <row r="408" spans="2:9" ht="15.75">
      <c r="B408" s="111"/>
      <c r="C408" s="111"/>
      <c r="D408" s="102"/>
      <c r="E408" s="130"/>
      <c r="F408" s="102"/>
      <c r="G408" s="122"/>
      <c r="H408" s="10"/>
      <c r="I408" s="10"/>
    </row>
    <row r="409" spans="2:9" ht="15.75">
      <c r="B409" s="111"/>
      <c r="C409" s="111"/>
      <c r="D409" s="102"/>
      <c r="E409" s="130"/>
      <c r="F409" s="102"/>
      <c r="G409" s="122"/>
      <c r="H409" s="10"/>
      <c r="I409" s="10"/>
    </row>
    <row r="410" spans="2:9" ht="15.75">
      <c r="B410" s="111"/>
      <c r="C410" s="111"/>
      <c r="D410" s="102"/>
      <c r="E410" s="130"/>
      <c r="F410" s="102"/>
      <c r="G410" s="122"/>
      <c r="H410" s="10"/>
      <c r="I410" s="10"/>
    </row>
    <row r="411" spans="2:9" ht="15.75">
      <c r="B411" s="111"/>
      <c r="C411" s="111"/>
      <c r="D411" s="102"/>
      <c r="E411" s="130"/>
      <c r="F411" s="102"/>
      <c r="G411" s="122"/>
      <c r="H411" s="10"/>
      <c r="I411" s="10"/>
    </row>
    <row r="412" spans="2:9" ht="15.75">
      <c r="B412" s="111"/>
      <c r="C412" s="111"/>
      <c r="D412" s="102"/>
      <c r="E412" s="130"/>
      <c r="F412" s="102"/>
      <c r="G412" s="122"/>
      <c r="H412" s="10"/>
      <c r="I412" s="10"/>
    </row>
    <row r="413" spans="2:9" ht="15.75">
      <c r="B413" s="111"/>
      <c r="C413" s="111"/>
      <c r="D413" s="102"/>
      <c r="E413" s="130"/>
      <c r="F413" s="102"/>
      <c r="G413" s="122"/>
      <c r="H413" s="10"/>
      <c r="I413" s="10"/>
    </row>
    <row r="414" spans="2:9" ht="15.75">
      <c r="B414" s="111"/>
      <c r="C414" s="111"/>
      <c r="D414" s="102"/>
      <c r="E414" s="130"/>
      <c r="F414" s="102"/>
      <c r="G414" s="122"/>
      <c r="H414" s="10"/>
      <c r="I414" s="10"/>
    </row>
    <row r="415" spans="2:9" ht="15.75">
      <c r="B415" s="111"/>
      <c r="C415" s="111"/>
      <c r="D415" s="102"/>
      <c r="E415" s="130"/>
      <c r="F415" s="102"/>
      <c r="G415" s="122"/>
      <c r="H415" s="10"/>
      <c r="I415" s="10"/>
    </row>
    <row r="416" spans="2:9" ht="15.75">
      <c r="B416" s="111"/>
      <c r="C416" s="111"/>
      <c r="D416" s="102"/>
      <c r="E416" s="130"/>
      <c r="F416" s="102"/>
      <c r="G416" s="122"/>
      <c r="H416" s="10"/>
      <c r="I416" s="10"/>
    </row>
    <row r="417" spans="2:9" ht="15.75">
      <c r="B417" s="111"/>
      <c r="C417" s="111"/>
      <c r="D417" s="102"/>
      <c r="E417" s="130"/>
      <c r="F417" s="102"/>
      <c r="G417" s="122"/>
      <c r="H417" s="10"/>
      <c r="I417" s="10"/>
    </row>
    <row r="418" spans="2:9" ht="15.75">
      <c r="B418" s="111"/>
      <c r="C418" s="111"/>
      <c r="D418" s="102"/>
      <c r="E418" s="130"/>
      <c r="F418" s="102"/>
      <c r="G418" s="122"/>
      <c r="H418" s="10"/>
      <c r="I418" s="10"/>
    </row>
    <row r="419" spans="2:9" ht="15.75">
      <c r="B419" s="111"/>
      <c r="C419" s="111"/>
      <c r="D419" s="102"/>
      <c r="E419" s="130"/>
      <c r="F419" s="102"/>
      <c r="G419" s="122"/>
      <c r="H419" s="10"/>
      <c r="I419" s="10"/>
    </row>
    <row r="420" spans="2:9" ht="15.75">
      <c r="B420" s="111"/>
      <c r="C420" s="111"/>
      <c r="D420" s="102"/>
      <c r="E420" s="130"/>
      <c r="F420" s="102"/>
      <c r="G420" s="122"/>
      <c r="H420" s="10"/>
      <c r="I420" s="10"/>
    </row>
    <row r="421" spans="2:9" ht="15.75">
      <c r="B421" s="111"/>
      <c r="C421" s="111"/>
      <c r="D421" s="102"/>
      <c r="E421" s="130"/>
      <c r="F421" s="102"/>
      <c r="G421" s="122"/>
      <c r="H421" s="10"/>
      <c r="I421" s="10"/>
    </row>
    <row r="422" spans="2:9" ht="15.75">
      <c r="B422" s="111"/>
      <c r="C422" s="111"/>
      <c r="D422" s="102"/>
      <c r="E422" s="130"/>
      <c r="F422" s="102"/>
      <c r="G422" s="122"/>
      <c r="H422" s="10"/>
      <c r="I422" s="10"/>
    </row>
    <row r="423" spans="2:9" ht="15.75">
      <c r="B423" s="111"/>
      <c r="C423" s="111"/>
      <c r="D423" s="102"/>
      <c r="E423" s="130"/>
      <c r="F423" s="102"/>
      <c r="G423" s="122"/>
      <c r="H423" s="10"/>
      <c r="I423" s="10"/>
    </row>
    <row r="424" spans="2:9" ht="15.75">
      <c r="B424" s="111"/>
      <c r="C424" s="111"/>
      <c r="D424" s="102"/>
      <c r="E424" s="130"/>
      <c r="F424" s="102"/>
      <c r="G424" s="122"/>
      <c r="H424" s="10"/>
      <c r="I424" s="10"/>
    </row>
    <row r="425" spans="2:9" ht="15.75">
      <c r="B425" s="111"/>
      <c r="C425" s="111"/>
      <c r="D425" s="102"/>
      <c r="E425" s="130"/>
      <c r="F425" s="102"/>
      <c r="G425" s="122"/>
      <c r="H425" s="10"/>
      <c r="I425" s="10"/>
    </row>
    <row r="426" spans="2:9" ht="15.75">
      <c r="B426" s="111"/>
      <c r="C426" s="111"/>
      <c r="D426" s="102"/>
      <c r="E426" s="130"/>
      <c r="F426" s="102"/>
      <c r="G426" s="122"/>
      <c r="H426" s="10"/>
      <c r="I426" s="10"/>
    </row>
    <row r="427" spans="2:9" ht="15.75">
      <c r="B427" s="111"/>
      <c r="C427" s="111"/>
      <c r="D427" s="102"/>
      <c r="E427" s="130"/>
      <c r="F427" s="102"/>
      <c r="G427" s="122"/>
      <c r="H427" s="10"/>
      <c r="I427" s="10"/>
    </row>
    <row r="428" spans="2:9" ht="15.75">
      <c r="B428" s="111"/>
      <c r="C428" s="111"/>
      <c r="D428" s="102"/>
      <c r="E428" s="130"/>
      <c r="F428" s="102"/>
      <c r="G428" s="122"/>
      <c r="H428" s="10"/>
      <c r="I428" s="10"/>
    </row>
    <row r="429" spans="2:9" ht="15.75">
      <c r="B429" s="111"/>
      <c r="C429" s="111"/>
      <c r="D429" s="102"/>
      <c r="E429" s="130"/>
      <c r="F429" s="102"/>
      <c r="G429" s="122"/>
      <c r="H429" s="10"/>
      <c r="I429" s="10"/>
    </row>
    <row r="430" spans="2:9" ht="15.75">
      <c r="B430" s="111"/>
      <c r="C430" s="111"/>
      <c r="D430" s="102"/>
      <c r="E430" s="130"/>
      <c r="F430" s="102"/>
      <c r="G430" s="122"/>
      <c r="H430" s="10"/>
      <c r="I430" s="10"/>
    </row>
    <row r="431" spans="2:9" ht="15.75">
      <c r="B431" s="111"/>
      <c r="C431" s="111"/>
      <c r="D431" s="102"/>
      <c r="E431" s="130"/>
      <c r="F431" s="102"/>
      <c r="G431" s="122"/>
      <c r="H431" s="10"/>
      <c r="I431" s="10"/>
    </row>
    <row r="432" spans="2:9" ht="15.75">
      <c r="B432" s="111"/>
      <c r="C432" s="111"/>
      <c r="D432" s="102"/>
      <c r="E432" s="130"/>
      <c r="F432" s="102"/>
      <c r="G432" s="122"/>
      <c r="H432" s="10"/>
      <c r="I432" s="10"/>
    </row>
    <row r="433" spans="2:9" ht="15.75">
      <c r="B433" s="111"/>
      <c r="C433" s="111"/>
      <c r="D433" s="102"/>
      <c r="E433" s="130"/>
      <c r="F433" s="102"/>
      <c r="G433" s="122"/>
      <c r="H433" s="10"/>
      <c r="I433" s="10"/>
    </row>
    <row r="434" spans="2:9" ht="15.75">
      <c r="B434" s="111"/>
      <c r="C434" s="111"/>
      <c r="D434" s="102"/>
      <c r="E434" s="130"/>
      <c r="F434" s="102"/>
      <c r="G434" s="122"/>
      <c r="H434" s="10"/>
      <c r="I434" s="10"/>
    </row>
    <row r="435" spans="2:9" ht="15.75">
      <c r="B435" s="111"/>
      <c r="C435" s="111"/>
      <c r="D435" s="102"/>
      <c r="E435" s="130"/>
      <c r="F435" s="102"/>
      <c r="G435" s="122"/>
      <c r="H435" s="10"/>
      <c r="I435" s="10"/>
    </row>
    <row r="436" spans="2:9" ht="15.75">
      <c r="B436" s="111"/>
      <c r="C436" s="111"/>
      <c r="D436" s="102"/>
      <c r="E436" s="130"/>
      <c r="F436" s="102"/>
      <c r="G436" s="122"/>
      <c r="H436" s="10"/>
      <c r="I436" s="10"/>
    </row>
    <row r="437" spans="2:9" ht="15.75">
      <c r="B437" s="111"/>
      <c r="C437" s="111"/>
      <c r="D437" s="102"/>
      <c r="E437" s="130"/>
      <c r="F437" s="102"/>
      <c r="G437" s="122"/>
      <c r="H437" s="10"/>
      <c r="I437" s="10"/>
    </row>
    <row r="438" spans="2:9" ht="15.75">
      <c r="B438" s="111"/>
      <c r="C438" s="111"/>
      <c r="D438" s="102"/>
      <c r="E438" s="130"/>
      <c r="F438" s="102"/>
      <c r="G438" s="122"/>
      <c r="H438" s="10"/>
      <c r="I438" s="10"/>
    </row>
    <row r="439" spans="2:9" ht="15.75">
      <c r="B439" s="111"/>
      <c r="C439" s="111"/>
      <c r="D439" s="102"/>
      <c r="E439" s="130"/>
      <c r="F439" s="102"/>
      <c r="G439" s="122"/>
      <c r="H439" s="10"/>
      <c r="I439" s="10"/>
    </row>
    <row r="440" spans="2:9" ht="15.75">
      <c r="B440" s="111"/>
      <c r="C440" s="111"/>
      <c r="D440" s="102"/>
      <c r="E440" s="130"/>
      <c r="F440" s="102"/>
      <c r="G440" s="122"/>
      <c r="H440" s="10"/>
      <c r="I440" s="10"/>
    </row>
    <row r="441" spans="2:9" ht="15.75">
      <c r="B441" s="111"/>
      <c r="C441" s="111"/>
      <c r="D441" s="102"/>
      <c r="E441" s="130"/>
      <c r="F441" s="102"/>
      <c r="G441" s="122"/>
      <c r="H441" s="10"/>
      <c r="I441" s="10"/>
    </row>
    <row r="442" spans="2:9" ht="15.75">
      <c r="B442" s="111"/>
      <c r="C442" s="111"/>
      <c r="D442" s="102"/>
      <c r="E442" s="130"/>
      <c r="F442" s="102"/>
      <c r="G442" s="122"/>
      <c r="H442" s="10"/>
      <c r="I442" s="10"/>
    </row>
    <row r="443" spans="2:9" ht="15.75">
      <c r="B443" s="111"/>
      <c r="C443" s="111"/>
      <c r="D443" s="102"/>
      <c r="E443" s="130"/>
      <c r="F443" s="102"/>
      <c r="G443" s="122"/>
      <c r="H443" s="10"/>
      <c r="I443" s="10"/>
    </row>
    <row r="444" spans="2:9" ht="15.75">
      <c r="B444" s="111"/>
      <c r="C444" s="111"/>
      <c r="D444" s="102"/>
      <c r="E444" s="130"/>
      <c r="F444" s="102"/>
      <c r="G444" s="122"/>
      <c r="H444" s="10"/>
      <c r="I444" s="10"/>
    </row>
    <row r="445" spans="2:9" ht="15.75">
      <c r="B445" s="111"/>
      <c r="C445" s="111"/>
      <c r="D445" s="102"/>
      <c r="E445" s="130"/>
      <c r="F445" s="102"/>
      <c r="G445" s="122"/>
      <c r="H445" s="10"/>
      <c r="I445" s="10"/>
    </row>
    <row r="446" spans="2:9" ht="15.75">
      <c r="B446" s="111"/>
      <c r="C446" s="111"/>
      <c r="D446" s="102"/>
      <c r="E446" s="130"/>
      <c r="F446" s="102"/>
      <c r="G446" s="122"/>
      <c r="H446" s="10"/>
      <c r="I446" s="10"/>
    </row>
    <row r="447" spans="2:9" ht="15.75">
      <c r="B447" s="111"/>
      <c r="C447" s="111"/>
      <c r="D447" s="102"/>
      <c r="E447" s="130"/>
      <c r="F447" s="102"/>
      <c r="G447" s="122"/>
      <c r="H447" s="10"/>
      <c r="I447" s="10"/>
    </row>
    <row r="448" spans="2:9" ht="15.75">
      <c r="B448" s="111"/>
      <c r="C448" s="111"/>
      <c r="D448" s="102"/>
      <c r="E448" s="130"/>
      <c r="F448" s="102"/>
      <c r="G448" s="122"/>
      <c r="H448" s="10"/>
      <c r="I448" s="10"/>
    </row>
    <row r="449" spans="2:9" ht="15.75">
      <c r="B449" s="111"/>
      <c r="C449" s="111"/>
      <c r="D449" s="102"/>
      <c r="E449" s="130"/>
      <c r="F449" s="102"/>
      <c r="G449" s="122"/>
      <c r="H449" s="10"/>
      <c r="I449" s="10"/>
    </row>
    <row r="450" spans="2:9" ht="15.75">
      <c r="B450" s="111"/>
      <c r="C450" s="111"/>
      <c r="D450" s="102"/>
      <c r="E450" s="130"/>
      <c r="F450" s="102"/>
      <c r="G450" s="122"/>
      <c r="H450" s="10"/>
      <c r="I450" s="10"/>
    </row>
    <row r="451" spans="2:9" ht="15.75">
      <c r="B451" s="111"/>
      <c r="C451" s="111"/>
      <c r="D451" s="102"/>
      <c r="E451" s="130"/>
      <c r="F451" s="102"/>
      <c r="G451" s="122"/>
      <c r="H451" s="10"/>
      <c r="I451" s="10"/>
    </row>
    <row r="452" spans="2:9" ht="15.75">
      <c r="B452" s="111"/>
      <c r="C452" s="111"/>
      <c r="D452" s="102"/>
      <c r="E452" s="130"/>
      <c r="F452" s="102"/>
      <c r="G452" s="122"/>
      <c r="H452" s="10"/>
      <c r="I452" s="10"/>
    </row>
    <row r="453" spans="2:9" ht="15.75">
      <c r="B453" s="111"/>
      <c r="C453" s="111"/>
      <c r="D453" s="102"/>
      <c r="E453" s="130"/>
      <c r="F453" s="102"/>
      <c r="G453" s="122"/>
      <c r="H453" s="10"/>
      <c r="I453" s="10"/>
    </row>
    <row r="454" spans="2:9" ht="15.75">
      <c r="B454" s="111"/>
      <c r="C454" s="111"/>
      <c r="D454" s="102"/>
      <c r="E454" s="130"/>
      <c r="F454" s="102"/>
      <c r="G454" s="122"/>
      <c r="H454" s="10"/>
      <c r="I454" s="10"/>
    </row>
    <row r="455" spans="2:9" ht="15.75">
      <c r="B455" s="111"/>
      <c r="C455" s="111"/>
      <c r="D455" s="102"/>
      <c r="E455" s="130"/>
      <c r="F455" s="102"/>
      <c r="G455" s="122"/>
      <c r="H455" s="10"/>
      <c r="I455" s="10"/>
    </row>
    <row r="456" spans="2:9" ht="15.75">
      <c r="B456" s="111"/>
      <c r="C456" s="111"/>
      <c r="D456" s="102"/>
      <c r="E456" s="130"/>
      <c r="F456" s="102"/>
      <c r="G456" s="122"/>
      <c r="H456" s="10"/>
      <c r="I456" s="10"/>
    </row>
    <row r="457" spans="2:9" ht="15.75">
      <c r="B457" s="111"/>
      <c r="C457" s="111"/>
      <c r="D457" s="102"/>
      <c r="E457" s="130"/>
      <c r="F457" s="102"/>
      <c r="G457" s="122"/>
      <c r="H457" s="10"/>
      <c r="I457" s="10"/>
    </row>
    <row r="458" spans="2:9" ht="15.75">
      <c r="B458" s="111"/>
      <c r="C458" s="111"/>
      <c r="D458" s="102"/>
      <c r="E458" s="130"/>
      <c r="F458" s="102"/>
      <c r="G458" s="122"/>
      <c r="H458" s="10"/>
      <c r="I458" s="10"/>
    </row>
    <row r="459" spans="2:9" ht="15.75">
      <c r="B459" s="111"/>
      <c r="C459" s="111"/>
      <c r="D459" s="102"/>
      <c r="E459" s="130"/>
      <c r="F459" s="102"/>
      <c r="G459" s="122"/>
      <c r="H459" s="10"/>
      <c r="I459" s="10"/>
    </row>
    <row r="460" spans="2:9" ht="15.75">
      <c r="B460" s="111"/>
      <c r="C460" s="111"/>
      <c r="D460" s="102"/>
      <c r="E460" s="130"/>
      <c r="F460" s="102"/>
      <c r="G460" s="122"/>
      <c r="H460" s="10"/>
      <c r="I460" s="10"/>
    </row>
    <row r="461" spans="2:9" ht="15.75">
      <c r="B461" s="111"/>
      <c r="C461" s="111"/>
      <c r="D461" s="102"/>
      <c r="E461" s="130"/>
      <c r="F461" s="102"/>
      <c r="G461" s="122"/>
      <c r="H461" s="10"/>
      <c r="I461" s="10"/>
    </row>
    <row r="462" spans="2:9" ht="15.75">
      <c r="B462" s="111"/>
      <c r="C462" s="111"/>
      <c r="D462" s="102"/>
      <c r="E462" s="130"/>
      <c r="F462" s="102"/>
      <c r="G462" s="122"/>
      <c r="H462" s="10"/>
      <c r="I462" s="10"/>
    </row>
    <row r="463" spans="2:9" ht="15.75">
      <c r="B463" s="111"/>
      <c r="C463" s="111"/>
      <c r="D463" s="102"/>
      <c r="E463" s="130"/>
      <c r="F463" s="102"/>
      <c r="G463" s="122"/>
      <c r="H463" s="10"/>
      <c r="I463" s="10"/>
    </row>
    <row r="464" spans="2:9" ht="15.75">
      <c r="B464" s="111"/>
      <c r="C464" s="111"/>
      <c r="D464" s="102"/>
      <c r="E464" s="130"/>
      <c r="F464" s="102"/>
      <c r="G464" s="122"/>
      <c r="H464" s="10"/>
      <c r="I464" s="10"/>
    </row>
    <row r="465" spans="2:9" ht="15.75">
      <c r="B465" s="111"/>
      <c r="C465" s="111"/>
      <c r="D465" s="102"/>
      <c r="E465" s="130"/>
      <c r="F465" s="102"/>
      <c r="G465" s="122"/>
      <c r="H465" s="10"/>
      <c r="I465" s="10"/>
    </row>
    <row r="466" spans="2:9" ht="15.75">
      <c r="B466" s="111"/>
      <c r="C466" s="111"/>
      <c r="D466" s="102"/>
      <c r="E466" s="130"/>
      <c r="F466" s="102"/>
      <c r="G466" s="122"/>
      <c r="H466" s="10"/>
      <c r="I466" s="10"/>
    </row>
    <row r="467" spans="2:9" ht="15.75">
      <c r="B467" s="111"/>
      <c r="C467" s="111"/>
      <c r="D467" s="102"/>
      <c r="E467" s="130"/>
      <c r="F467" s="102"/>
      <c r="G467" s="122"/>
      <c r="H467" s="10"/>
      <c r="I467" s="10"/>
    </row>
    <row r="468" spans="2:9" ht="15.75">
      <c r="B468" s="111"/>
      <c r="C468" s="111"/>
      <c r="D468" s="102"/>
      <c r="E468" s="130"/>
      <c r="F468" s="102"/>
      <c r="G468" s="122"/>
      <c r="H468" s="10"/>
      <c r="I468" s="10"/>
    </row>
    <row r="469" spans="2:9" ht="15.75">
      <c r="B469" s="111"/>
      <c r="C469" s="111"/>
      <c r="D469" s="102"/>
      <c r="E469" s="130"/>
      <c r="F469" s="102"/>
      <c r="G469" s="122"/>
      <c r="H469" s="10"/>
      <c r="I469" s="10"/>
    </row>
    <row r="470" spans="2:9" ht="15.75">
      <c r="B470" s="111"/>
      <c r="C470" s="111"/>
      <c r="D470" s="102"/>
      <c r="E470" s="130"/>
      <c r="F470" s="102"/>
      <c r="G470" s="122"/>
      <c r="H470" s="10"/>
      <c r="I470" s="10"/>
    </row>
    <row r="471" spans="2:9" ht="15.75">
      <c r="B471" s="111"/>
      <c r="C471" s="111"/>
      <c r="D471" s="102"/>
      <c r="E471" s="130"/>
      <c r="F471" s="102"/>
      <c r="G471" s="122"/>
      <c r="H471" s="10"/>
      <c r="I471" s="10"/>
    </row>
    <row r="472" spans="2:9" ht="15.75">
      <c r="B472" s="111"/>
      <c r="C472" s="111"/>
      <c r="D472" s="102"/>
      <c r="E472" s="130"/>
      <c r="F472" s="102"/>
      <c r="G472" s="122"/>
      <c r="H472" s="10"/>
      <c r="I472" s="10"/>
    </row>
    <row r="473" spans="2:9" ht="15.75">
      <c r="B473" s="111"/>
      <c r="C473" s="111"/>
      <c r="D473" s="102"/>
      <c r="E473" s="130"/>
      <c r="F473" s="102"/>
      <c r="G473" s="122"/>
      <c r="H473" s="10"/>
      <c r="I473" s="10"/>
    </row>
    <row r="474" spans="2:9" ht="15.75">
      <c r="B474" s="111"/>
      <c r="C474" s="111"/>
      <c r="D474" s="102"/>
      <c r="E474" s="130"/>
      <c r="F474" s="102"/>
      <c r="G474" s="122"/>
      <c r="H474" s="10"/>
      <c r="I474" s="10"/>
    </row>
    <row r="475" spans="2:9" ht="15.75">
      <c r="B475" s="111"/>
      <c r="C475" s="111"/>
      <c r="D475" s="102"/>
      <c r="E475" s="130"/>
      <c r="F475" s="102"/>
      <c r="G475" s="122"/>
      <c r="H475" s="10"/>
      <c r="I475" s="10"/>
    </row>
    <row r="476" spans="2:9" ht="15.75">
      <c r="B476" s="111"/>
      <c r="C476" s="111"/>
      <c r="D476" s="102"/>
      <c r="E476" s="130"/>
      <c r="F476" s="102"/>
      <c r="G476" s="122"/>
      <c r="H476" s="10"/>
      <c r="I476" s="10"/>
    </row>
    <row r="477" spans="2:9" ht="15.75">
      <c r="B477" s="111"/>
      <c r="C477" s="111"/>
      <c r="D477" s="102"/>
      <c r="E477" s="130"/>
      <c r="F477" s="102"/>
      <c r="G477" s="122"/>
      <c r="H477" s="10"/>
      <c r="I477" s="10"/>
    </row>
    <row r="478" spans="2:9" ht="15.75">
      <c r="B478" s="111"/>
      <c r="C478" s="111"/>
      <c r="D478" s="102"/>
      <c r="E478" s="130"/>
      <c r="F478" s="102"/>
      <c r="G478" s="122"/>
      <c r="H478" s="10"/>
      <c r="I478" s="10"/>
    </row>
    <row r="479" spans="2:9" ht="15.75">
      <c r="B479" s="111"/>
      <c r="C479" s="111"/>
      <c r="D479" s="102"/>
      <c r="E479" s="130"/>
      <c r="F479" s="102"/>
      <c r="G479" s="122"/>
      <c r="H479" s="10"/>
      <c r="I479" s="10"/>
    </row>
    <row r="480" spans="2:9" ht="15.75">
      <c r="B480" s="111"/>
      <c r="C480" s="111"/>
      <c r="D480" s="102"/>
      <c r="E480" s="130"/>
      <c r="F480" s="102"/>
      <c r="G480" s="122"/>
      <c r="H480" s="10"/>
      <c r="I480" s="10"/>
    </row>
    <row r="481" spans="2:9" ht="15.75">
      <c r="B481" s="111"/>
      <c r="C481" s="111"/>
      <c r="D481" s="102"/>
      <c r="E481" s="130"/>
      <c r="F481" s="102"/>
      <c r="G481" s="122"/>
      <c r="H481" s="10"/>
      <c r="I481" s="10"/>
    </row>
    <row r="482" spans="2:9" ht="15.75">
      <c r="B482" s="111"/>
      <c r="C482" s="111"/>
      <c r="D482" s="102"/>
      <c r="E482" s="130"/>
      <c r="F482" s="102"/>
      <c r="G482" s="122"/>
      <c r="H482" s="10"/>
      <c r="I482" s="10"/>
    </row>
    <row r="483" spans="2:9" ht="15.75">
      <c r="B483" s="111"/>
      <c r="C483" s="111"/>
      <c r="D483" s="102"/>
      <c r="E483" s="130"/>
      <c r="F483" s="102"/>
      <c r="G483" s="122"/>
      <c r="H483" s="10"/>
      <c r="I483" s="10"/>
    </row>
    <row r="484" spans="2:9" ht="15.75">
      <c r="B484" s="111"/>
      <c r="C484" s="111"/>
      <c r="D484" s="102"/>
      <c r="E484" s="130"/>
      <c r="F484" s="102"/>
      <c r="G484" s="122"/>
      <c r="H484" s="10"/>
      <c r="I484" s="10"/>
    </row>
    <row r="485" spans="2:9" ht="15.75">
      <c r="B485" s="111"/>
      <c r="C485" s="111"/>
      <c r="D485" s="102"/>
      <c r="E485" s="130"/>
      <c r="F485" s="102"/>
      <c r="G485" s="122"/>
      <c r="H485" s="10"/>
      <c r="I485" s="10"/>
    </row>
    <row r="486" spans="2:9" ht="15.75">
      <c r="B486" s="111"/>
      <c r="C486" s="111"/>
      <c r="D486" s="102"/>
      <c r="E486" s="130"/>
      <c r="F486" s="102"/>
      <c r="G486" s="122"/>
      <c r="H486" s="10"/>
      <c r="I486" s="10"/>
    </row>
    <row r="487" spans="2:9" ht="15.75">
      <c r="B487" s="111"/>
      <c r="C487" s="111"/>
      <c r="D487" s="102"/>
      <c r="E487" s="130"/>
      <c r="F487" s="102"/>
      <c r="G487" s="122"/>
      <c r="H487" s="10"/>
      <c r="I487" s="10"/>
    </row>
    <row r="488" spans="2:9" ht="15.75">
      <c r="B488" s="111"/>
      <c r="C488" s="111"/>
      <c r="D488" s="102"/>
      <c r="E488" s="130"/>
      <c r="F488" s="102"/>
      <c r="G488" s="122"/>
      <c r="H488" s="10"/>
      <c r="I488" s="10"/>
    </row>
    <row r="489" spans="2:9" ht="15.75">
      <c r="B489" s="111"/>
      <c r="C489" s="111"/>
      <c r="D489" s="102"/>
      <c r="E489" s="130"/>
      <c r="F489" s="102"/>
      <c r="G489" s="122"/>
      <c r="H489" s="10"/>
      <c r="I489" s="10"/>
    </row>
    <row r="490" spans="2:9" ht="15.75">
      <c r="B490" s="111"/>
      <c r="C490" s="111"/>
      <c r="D490" s="102"/>
      <c r="E490" s="130"/>
      <c r="F490" s="102"/>
      <c r="G490" s="122"/>
      <c r="H490" s="10"/>
      <c r="I490" s="10"/>
    </row>
    <row r="491" spans="2:9" ht="15.75">
      <c r="B491" s="111"/>
      <c r="C491" s="111"/>
      <c r="D491" s="102"/>
      <c r="E491" s="130"/>
      <c r="F491" s="102"/>
      <c r="G491" s="122"/>
      <c r="H491" s="10"/>
      <c r="I491" s="10"/>
    </row>
    <row r="492" spans="2:9" ht="15.75">
      <c r="B492" s="111"/>
      <c r="C492" s="111"/>
      <c r="D492" s="102"/>
      <c r="E492" s="130"/>
      <c r="F492" s="102"/>
      <c r="G492" s="122"/>
      <c r="H492" s="10"/>
      <c r="I492" s="10"/>
    </row>
    <row r="493" spans="2:9" ht="15.75">
      <c r="B493" s="111"/>
      <c r="C493" s="111"/>
      <c r="D493" s="102"/>
      <c r="E493" s="130"/>
      <c r="F493" s="102"/>
      <c r="G493" s="122"/>
      <c r="H493" s="10"/>
      <c r="I493" s="10"/>
    </row>
    <row r="494" spans="2:9" ht="15.75">
      <c r="B494" s="111"/>
      <c r="C494" s="111"/>
      <c r="D494" s="102"/>
      <c r="E494" s="130"/>
      <c r="F494" s="102"/>
      <c r="G494" s="122"/>
      <c r="H494" s="10"/>
      <c r="I494" s="10"/>
    </row>
    <row r="495" spans="2:9" ht="15.75">
      <c r="B495" s="111"/>
      <c r="C495" s="111"/>
      <c r="D495" s="102"/>
      <c r="E495" s="130"/>
      <c r="F495" s="102"/>
      <c r="G495" s="122"/>
      <c r="H495" s="10"/>
      <c r="I495" s="10"/>
    </row>
    <row r="496" spans="2:9" ht="15.75">
      <c r="B496" s="111"/>
      <c r="C496" s="111"/>
      <c r="D496" s="102"/>
      <c r="E496" s="130"/>
      <c r="F496" s="102"/>
      <c r="G496" s="122"/>
      <c r="H496" s="10"/>
      <c r="I496" s="10"/>
    </row>
    <row r="497" spans="2:9" ht="15.75">
      <c r="B497" s="111"/>
      <c r="C497" s="111"/>
      <c r="D497" s="102"/>
      <c r="E497" s="130"/>
      <c r="F497" s="102"/>
      <c r="G497" s="122"/>
      <c r="H497" s="10"/>
      <c r="I497" s="10"/>
    </row>
    <row r="498" spans="2:9" ht="15.75">
      <c r="B498" s="111"/>
      <c r="C498" s="111"/>
      <c r="D498" s="102"/>
      <c r="E498" s="130"/>
      <c r="F498" s="102"/>
      <c r="G498" s="122"/>
      <c r="H498" s="10"/>
      <c r="I498" s="10"/>
    </row>
    <row r="499" spans="2:9" ht="15.75">
      <c r="B499" s="111"/>
      <c r="C499" s="111"/>
      <c r="D499" s="102"/>
      <c r="E499" s="130"/>
      <c r="F499" s="102"/>
      <c r="G499" s="122"/>
      <c r="H499" s="10"/>
      <c r="I499" s="10"/>
    </row>
    <row r="500" spans="2:9" ht="15.75">
      <c r="B500" s="111"/>
      <c r="C500" s="111"/>
      <c r="D500" s="102"/>
      <c r="E500" s="130"/>
      <c r="F500" s="102"/>
      <c r="G500" s="122"/>
      <c r="H500" s="10"/>
      <c r="I500" s="10"/>
    </row>
    <row r="501" spans="2:9" ht="15.75">
      <c r="B501" s="111"/>
      <c r="C501" s="111"/>
      <c r="D501" s="102"/>
      <c r="E501" s="130"/>
      <c r="F501" s="102"/>
      <c r="G501" s="122"/>
      <c r="H501" s="10"/>
      <c r="I501" s="10"/>
    </row>
    <row r="502" spans="2:9" ht="15.75">
      <c r="B502" s="111"/>
      <c r="C502" s="111"/>
      <c r="D502" s="102"/>
      <c r="E502" s="130"/>
      <c r="F502" s="102"/>
      <c r="G502" s="122"/>
      <c r="H502" s="10"/>
      <c r="I502" s="10"/>
    </row>
    <row r="503" spans="2:9" ht="15.75">
      <c r="B503" s="111"/>
      <c r="C503" s="111"/>
      <c r="D503" s="102"/>
      <c r="E503" s="130"/>
      <c r="F503" s="102"/>
      <c r="G503" s="122"/>
      <c r="H503" s="10"/>
      <c r="I503" s="10"/>
    </row>
    <row r="504" spans="2:9" ht="15.75">
      <c r="B504" s="111"/>
      <c r="C504" s="111"/>
      <c r="D504" s="102"/>
      <c r="E504" s="130"/>
      <c r="F504" s="102"/>
      <c r="G504" s="122"/>
      <c r="H504" s="10"/>
      <c r="I504" s="10"/>
    </row>
    <row r="505" spans="2:9" ht="15.75">
      <c r="B505" s="111"/>
      <c r="C505" s="111"/>
      <c r="D505" s="102"/>
      <c r="E505" s="130"/>
      <c r="F505" s="102"/>
      <c r="G505" s="122"/>
      <c r="H505" s="10"/>
      <c r="I505" s="10"/>
    </row>
    <row r="506" spans="2:9" ht="15.75">
      <c r="B506" s="111"/>
      <c r="C506" s="111"/>
      <c r="D506" s="102"/>
      <c r="E506" s="130"/>
      <c r="F506" s="102"/>
      <c r="G506" s="122"/>
      <c r="H506" s="10"/>
      <c r="I506" s="10"/>
    </row>
    <row r="507" spans="2:9" ht="15.75">
      <c r="B507" s="111"/>
      <c r="C507" s="111"/>
      <c r="D507" s="102"/>
      <c r="E507" s="130"/>
      <c r="F507" s="102"/>
      <c r="G507" s="122"/>
      <c r="H507" s="10"/>
      <c r="I507" s="10"/>
    </row>
    <row r="508" spans="2:9" ht="15.75">
      <c r="B508" s="111"/>
      <c r="C508" s="111"/>
      <c r="D508" s="102"/>
      <c r="E508" s="130"/>
      <c r="F508" s="102"/>
      <c r="G508" s="122"/>
      <c r="H508" s="10"/>
      <c r="I508" s="10"/>
    </row>
    <row r="509" spans="2:9" ht="15.75">
      <c r="B509" s="111"/>
      <c r="C509" s="111"/>
      <c r="D509" s="102"/>
      <c r="E509" s="130"/>
      <c r="F509" s="102"/>
      <c r="G509" s="122"/>
      <c r="H509" s="10"/>
      <c r="I509" s="10"/>
    </row>
    <row r="510" spans="2:9" ht="15.75">
      <c r="B510" s="111"/>
      <c r="C510" s="111"/>
      <c r="D510" s="102"/>
      <c r="E510" s="130"/>
      <c r="F510" s="102"/>
      <c r="G510" s="122"/>
      <c r="H510" s="10"/>
      <c r="I510" s="10"/>
    </row>
    <row r="511" spans="2:9" ht="15.75">
      <c r="B511" s="111"/>
      <c r="C511" s="111"/>
      <c r="D511" s="102"/>
      <c r="E511" s="130"/>
      <c r="F511" s="102"/>
      <c r="G511" s="122"/>
      <c r="H511" s="10"/>
      <c r="I511" s="10"/>
    </row>
    <row r="512" spans="2:9" ht="15.75">
      <c r="B512" s="111"/>
      <c r="C512" s="111"/>
      <c r="D512" s="102"/>
      <c r="E512" s="130"/>
      <c r="F512" s="102"/>
      <c r="G512" s="122"/>
      <c r="H512" s="10"/>
      <c r="I512" s="10"/>
    </row>
    <row r="513" spans="2:9" ht="15.75">
      <c r="B513" s="111"/>
      <c r="C513" s="111"/>
      <c r="D513" s="102"/>
      <c r="E513" s="130"/>
      <c r="F513" s="102"/>
      <c r="G513" s="122"/>
      <c r="H513" s="10"/>
      <c r="I513" s="10"/>
    </row>
    <row r="514" spans="2:9" ht="15.75">
      <c r="B514" s="111"/>
      <c r="C514" s="111"/>
      <c r="D514" s="102"/>
      <c r="E514" s="130"/>
      <c r="F514" s="102"/>
      <c r="G514" s="122"/>
      <c r="H514" s="10"/>
      <c r="I514" s="10"/>
    </row>
    <row r="515" spans="2:9" ht="15.75">
      <c r="B515" s="111"/>
      <c r="C515" s="111"/>
      <c r="D515" s="102"/>
      <c r="E515" s="130"/>
      <c r="F515" s="102"/>
      <c r="G515" s="122"/>
      <c r="H515" s="10"/>
      <c r="I515" s="10"/>
    </row>
    <row r="516" spans="2:9" ht="15.75">
      <c r="B516" s="111"/>
      <c r="C516" s="111"/>
      <c r="D516" s="102"/>
      <c r="E516" s="130"/>
      <c r="F516" s="102"/>
      <c r="G516" s="122"/>
      <c r="H516" s="10"/>
      <c r="I516" s="10"/>
    </row>
    <row r="517" spans="2:9" ht="15.75">
      <c r="B517" s="111"/>
      <c r="C517" s="111"/>
      <c r="D517" s="102"/>
      <c r="E517" s="130"/>
      <c r="F517" s="102"/>
      <c r="G517" s="122"/>
      <c r="H517" s="10"/>
      <c r="I517" s="10"/>
    </row>
    <row r="518" spans="2:9" ht="15.75">
      <c r="B518" s="111"/>
      <c r="C518" s="111"/>
      <c r="D518" s="102"/>
      <c r="E518" s="130"/>
      <c r="F518" s="102"/>
      <c r="G518" s="122"/>
      <c r="H518" s="10"/>
      <c r="I518" s="10"/>
    </row>
    <row r="519" spans="2:9" ht="15.75">
      <c r="B519" s="111"/>
      <c r="C519" s="111"/>
      <c r="D519" s="102"/>
      <c r="E519" s="130"/>
      <c r="F519" s="102"/>
      <c r="G519" s="122"/>
      <c r="H519" s="10"/>
      <c r="I519" s="10"/>
    </row>
    <row r="520" spans="2:9" ht="15.75">
      <c r="B520" s="111"/>
      <c r="C520" s="111"/>
      <c r="D520" s="102"/>
      <c r="E520" s="130"/>
      <c r="F520" s="102"/>
      <c r="G520" s="122"/>
      <c r="H520" s="10"/>
      <c r="I520" s="10"/>
    </row>
    <row r="521" spans="2:9" ht="15.75">
      <c r="B521" s="111"/>
      <c r="C521" s="111"/>
      <c r="D521" s="102"/>
      <c r="E521" s="130"/>
      <c r="F521" s="102"/>
      <c r="G521" s="122"/>
      <c r="H521" s="10"/>
      <c r="I521" s="10"/>
    </row>
    <row r="522" spans="2:9" ht="15.75">
      <c r="B522" s="111"/>
      <c r="C522" s="111"/>
      <c r="D522" s="102"/>
      <c r="E522" s="130"/>
      <c r="F522" s="102"/>
      <c r="G522" s="122"/>
      <c r="H522" s="10"/>
      <c r="I522" s="10"/>
    </row>
    <row r="523" spans="2:9" ht="15.75">
      <c r="B523" s="111"/>
      <c r="C523" s="111"/>
      <c r="D523" s="102"/>
      <c r="E523" s="130"/>
      <c r="F523" s="102"/>
      <c r="G523" s="122"/>
      <c r="H523" s="10"/>
      <c r="I523" s="10"/>
    </row>
    <row r="524" spans="2:9" ht="15.75">
      <c r="B524" s="111"/>
      <c r="C524" s="111"/>
      <c r="D524" s="102"/>
      <c r="E524" s="130"/>
      <c r="F524" s="102"/>
      <c r="G524" s="122"/>
      <c r="H524" s="10"/>
      <c r="I524" s="10"/>
    </row>
    <row r="525" spans="2:9" ht="15.75">
      <c r="B525" s="111"/>
      <c r="C525" s="111"/>
      <c r="D525" s="102"/>
      <c r="E525" s="130"/>
      <c r="F525" s="102"/>
      <c r="G525" s="122"/>
      <c r="H525" s="10"/>
      <c r="I525" s="10"/>
    </row>
    <row r="526" spans="2:9" ht="15.75">
      <c r="B526" s="111"/>
      <c r="C526" s="111"/>
      <c r="D526" s="102"/>
      <c r="E526" s="130"/>
      <c r="F526" s="102"/>
      <c r="G526" s="122"/>
      <c r="H526" s="10"/>
      <c r="I526" s="10"/>
    </row>
    <row r="527" spans="2:9" ht="15.75">
      <c r="B527" s="111"/>
      <c r="C527" s="111"/>
      <c r="D527" s="102"/>
      <c r="E527" s="130"/>
      <c r="F527" s="102"/>
      <c r="G527" s="122"/>
      <c r="H527" s="10"/>
      <c r="I527" s="10"/>
    </row>
    <row r="528" spans="2:9" ht="15.75">
      <c r="B528" s="111"/>
      <c r="C528" s="111"/>
      <c r="D528" s="102"/>
      <c r="E528" s="130"/>
      <c r="F528" s="102"/>
      <c r="G528" s="122"/>
      <c r="H528" s="10"/>
      <c r="I528" s="10"/>
    </row>
    <row r="529" spans="2:9" ht="15.75">
      <c r="B529" s="111"/>
      <c r="C529" s="111"/>
      <c r="D529" s="102"/>
      <c r="E529" s="130"/>
      <c r="F529" s="102"/>
      <c r="G529" s="122"/>
      <c r="H529" s="10"/>
      <c r="I529" s="10"/>
    </row>
    <row r="530" spans="2:9" ht="15.75">
      <c r="B530" s="111"/>
      <c r="C530" s="111"/>
      <c r="D530" s="102"/>
      <c r="E530" s="130"/>
      <c r="F530" s="102"/>
      <c r="G530" s="122"/>
      <c r="H530" s="10"/>
      <c r="I530" s="10"/>
    </row>
    <row r="531" spans="2:9" ht="15.75">
      <c r="B531" s="111"/>
      <c r="C531" s="111"/>
      <c r="D531" s="102"/>
      <c r="E531" s="130"/>
      <c r="F531" s="102"/>
      <c r="G531" s="122"/>
      <c r="H531" s="10"/>
      <c r="I531" s="10"/>
    </row>
    <row r="532" spans="2:9" ht="15.75">
      <c r="B532" s="111"/>
      <c r="C532" s="111"/>
      <c r="D532" s="102"/>
      <c r="E532" s="130"/>
      <c r="F532" s="102"/>
      <c r="G532" s="122"/>
      <c r="H532" s="10"/>
      <c r="I532" s="10"/>
    </row>
    <row r="533" spans="2:9" ht="15.75">
      <c r="B533" s="111"/>
      <c r="C533" s="111"/>
      <c r="D533" s="102"/>
      <c r="E533" s="130"/>
      <c r="F533" s="102"/>
      <c r="G533" s="122"/>
      <c r="H533" s="10"/>
      <c r="I533" s="10"/>
    </row>
    <row r="534" spans="2:9" ht="15.75">
      <c r="B534" s="111"/>
      <c r="C534" s="111"/>
      <c r="D534" s="102"/>
      <c r="E534" s="130"/>
      <c r="F534" s="102"/>
      <c r="G534" s="122"/>
      <c r="H534" s="10"/>
      <c r="I534" s="10"/>
    </row>
    <row r="535" spans="2:9" ht="15.75">
      <c r="B535" s="111"/>
      <c r="C535" s="111"/>
      <c r="D535" s="102"/>
      <c r="E535" s="130"/>
      <c r="F535" s="102"/>
      <c r="G535" s="122"/>
      <c r="H535" s="10"/>
      <c r="I535" s="10"/>
    </row>
    <row r="536" spans="2:9" ht="15.75">
      <c r="B536" s="111"/>
      <c r="C536" s="111"/>
      <c r="D536" s="102"/>
      <c r="E536" s="130"/>
      <c r="F536" s="102"/>
      <c r="G536" s="122"/>
      <c r="H536" s="10"/>
      <c r="I536" s="10"/>
    </row>
    <row r="537" spans="2:9" ht="15.75">
      <c r="B537" s="111"/>
      <c r="C537" s="111"/>
      <c r="D537" s="102"/>
      <c r="E537" s="130"/>
      <c r="F537" s="102"/>
      <c r="G537" s="122"/>
      <c r="H537" s="10"/>
      <c r="I537" s="10"/>
    </row>
    <row r="538" spans="2:9" ht="15.75">
      <c r="B538" s="111"/>
      <c r="C538" s="111"/>
      <c r="D538" s="102"/>
      <c r="E538" s="130"/>
      <c r="F538" s="102"/>
      <c r="G538" s="122"/>
      <c r="H538" s="10"/>
      <c r="I538" s="10"/>
    </row>
    <row r="539" spans="2:9" ht="15.75">
      <c r="B539" s="111"/>
      <c r="C539" s="111"/>
      <c r="D539" s="102"/>
      <c r="E539" s="130"/>
      <c r="F539" s="102"/>
      <c r="G539" s="122"/>
      <c r="H539" s="10"/>
      <c r="I539" s="10"/>
    </row>
    <row r="540" spans="2:9" ht="15.75">
      <c r="B540" s="111"/>
      <c r="C540" s="111"/>
      <c r="D540" s="102"/>
      <c r="E540" s="130"/>
      <c r="F540" s="102"/>
      <c r="G540" s="122"/>
      <c r="H540" s="10"/>
      <c r="I540" s="10"/>
    </row>
    <row r="541" spans="2:9" ht="15.75">
      <c r="B541" s="111"/>
      <c r="C541" s="111"/>
      <c r="D541" s="102"/>
      <c r="E541" s="130"/>
      <c r="F541" s="102"/>
      <c r="G541" s="122"/>
      <c r="H541" s="10"/>
      <c r="I541" s="10"/>
    </row>
    <row r="542" spans="2:9" ht="15.75">
      <c r="B542" s="111"/>
      <c r="C542" s="111"/>
      <c r="D542" s="102"/>
      <c r="E542" s="130"/>
      <c r="F542" s="102"/>
      <c r="G542" s="122"/>
      <c r="H542" s="10"/>
      <c r="I542" s="10"/>
    </row>
    <row r="543" spans="2:9" ht="15.75">
      <c r="B543" s="111"/>
      <c r="C543" s="111"/>
      <c r="D543" s="102"/>
      <c r="E543" s="130"/>
      <c r="F543" s="102"/>
      <c r="G543" s="122"/>
      <c r="H543" s="10"/>
      <c r="I543" s="10"/>
    </row>
    <row r="544" spans="2:9" ht="15.75">
      <c r="B544" s="111"/>
      <c r="C544" s="111"/>
      <c r="D544" s="102"/>
      <c r="E544" s="130"/>
      <c r="F544" s="102"/>
      <c r="G544" s="122"/>
      <c r="H544" s="10"/>
      <c r="I544" s="10"/>
    </row>
    <row r="545" spans="2:9" ht="15.75">
      <c r="B545" s="111"/>
      <c r="C545" s="111"/>
      <c r="D545" s="102"/>
      <c r="E545" s="130"/>
      <c r="F545" s="102"/>
      <c r="G545" s="122"/>
      <c r="H545" s="10"/>
      <c r="I545" s="10"/>
    </row>
    <row r="546" spans="2:9" ht="15.75">
      <c r="B546" s="111"/>
      <c r="C546" s="111"/>
      <c r="D546" s="102"/>
      <c r="E546" s="130"/>
      <c r="F546" s="102"/>
      <c r="G546" s="122"/>
      <c r="H546" s="10"/>
      <c r="I546" s="10"/>
    </row>
    <row r="547" spans="2:9" ht="15.75">
      <c r="B547" s="111"/>
      <c r="C547" s="111"/>
      <c r="D547" s="102"/>
      <c r="E547" s="130"/>
      <c r="F547" s="102"/>
      <c r="G547" s="122"/>
      <c r="H547" s="10"/>
      <c r="I547" s="10"/>
    </row>
    <row r="548" spans="2:9" ht="15.75">
      <c r="B548" s="111"/>
      <c r="C548" s="111"/>
      <c r="D548" s="102"/>
      <c r="E548" s="130"/>
      <c r="F548" s="102"/>
      <c r="G548" s="122"/>
      <c r="H548" s="10"/>
      <c r="I548" s="10"/>
    </row>
    <row r="549" spans="2:9" ht="15.75">
      <c r="B549" s="111"/>
      <c r="C549" s="111"/>
      <c r="D549" s="102"/>
      <c r="E549" s="130"/>
      <c r="F549" s="102"/>
      <c r="G549" s="122"/>
      <c r="H549" s="10"/>
      <c r="I549" s="10"/>
    </row>
    <row r="550" spans="2:9" ht="15.75">
      <c r="B550" s="111"/>
      <c r="C550" s="111"/>
      <c r="D550" s="102"/>
      <c r="E550" s="130"/>
      <c r="F550" s="102"/>
      <c r="G550" s="122"/>
      <c r="H550" s="10"/>
      <c r="I550" s="10"/>
    </row>
    <row r="551" spans="2:9" ht="15.75">
      <c r="B551" s="111"/>
      <c r="C551" s="111"/>
      <c r="D551" s="102"/>
      <c r="E551" s="130"/>
      <c r="F551" s="102"/>
      <c r="G551" s="122"/>
      <c r="H551" s="10"/>
      <c r="I551" s="10"/>
    </row>
    <row r="552" spans="2:9" ht="15.75">
      <c r="B552" s="111"/>
      <c r="C552" s="111"/>
      <c r="D552" s="102"/>
      <c r="E552" s="130"/>
      <c r="F552" s="102"/>
      <c r="G552" s="122"/>
      <c r="H552" s="10"/>
      <c r="I552" s="10"/>
    </row>
    <row r="553" spans="2:9" ht="15.75">
      <c r="B553" s="111"/>
      <c r="C553" s="111"/>
      <c r="D553" s="102"/>
      <c r="E553" s="130"/>
      <c r="F553" s="102"/>
      <c r="G553" s="122"/>
      <c r="H553" s="10"/>
      <c r="I553" s="10"/>
    </row>
    <row r="554" spans="2:9" ht="15.75">
      <c r="B554" s="111"/>
      <c r="C554" s="111"/>
      <c r="D554" s="102"/>
      <c r="E554" s="130"/>
      <c r="F554" s="102"/>
      <c r="G554" s="122"/>
      <c r="H554" s="10"/>
      <c r="I554" s="10"/>
    </row>
    <row r="555" spans="2:9" ht="15.75">
      <c r="B555" s="111"/>
      <c r="C555" s="111"/>
      <c r="D555" s="102"/>
      <c r="E555" s="130"/>
      <c r="F555" s="102"/>
      <c r="G555" s="122"/>
      <c r="H555" s="10"/>
      <c r="I555" s="10"/>
    </row>
    <row r="556" spans="2:9" ht="15.75">
      <c r="B556" s="111"/>
      <c r="C556" s="111"/>
      <c r="D556" s="102"/>
      <c r="E556" s="130"/>
      <c r="F556" s="102"/>
      <c r="G556" s="122"/>
      <c r="H556" s="10"/>
      <c r="I556" s="10"/>
    </row>
    <row r="557" spans="2:9" ht="15.75">
      <c r="B557" s="111"/>
      <c r="C557" s="111"/>
      <c r="D557" s="102"/>
      <c r="E557" s="130"/>
      <c r="F557" s="102"/>
      <c r="G557" s="122"/>
      <c r="H557" s="10"/>
      <c r="I557" s="10"/>
    </row>
    <row r="558" spans="2:9" ht="15.75">
      <c r="B558" s="111"/>
      <c r="C558" s="111"/>
      <c r="D558" s="102"/>
      <c r="E558" s="130"/>
      <c r="F558" s="102"/>
      <c r="G558" s="122"/>
      <c r="H558" s="10"/>
      <c r="I558" s="10"/>
    </row>
    <row r="559" spans="2:9" ht="15.75">
      <c r="B559" s="111"/>
      <c r="C559" s="111"/>
      <c r="D559" s="102"/>
      <c r="E559" s="130"/>
      <c r="F559" s="102"/>
      <c r="G559" s="122"/>
      <c r="H559" s="10"/>
      <c r="I559" s="10"/>
    </row>
    <row r="560" spans="2:9" ht="15.75">
      <c r="B560" s="111"/>
      <c r="C560" s="111"/>
      <c r="D560" s="102"/>
      <c r="E560" s="130"/>
      <c r="F560" s="102"/>
      <c r="G560" s="122"/>
      <c r="H560" s="10"/>
      <c r="I560" s="10"/>
    </row>
    <row r="561" spans="2:9" ht="15.75">
      <c r="B561" s="111"/>
      <c r="C561" s="111"/>
      <c r="D561" s="102"/>
      <c r="E561" s="130"/>
      <c r="F561" s="102"/>
      <c r="G561" s="122"/>
      <c r="H561" s="10"/>
      <c r="I561" s="10"/>
    </row>
    <row r="562" spans="2:9" ht="15.75">
      <c r="B562" s="111"/>
      <c r="C562" s="111"/>
      <c r="D562" s="102"/>
      <c r="E562" s="130"/>
      <c r="F562" s="102"/>
      <c r="G562" s="122"/>
      <c r="H562" s="10"/>
      <c r="I562" s="10"/>
    </row>
    <row r="563" spans="2:9" ht="15.75">
      <c r="B563" s="111"/>
      <c r="C563" s="111"/>
      <c r="D563" s="102"/>
      <c r="E563" s="130"/>
      <c r="F563" s="102"/>
      <c r="G563" s="122"/>
      <c r="H563" s="10"/>
      <c r="I563" s="10"/>
    </row>
    <row r="564" spans="2:9" ht="15.75">
      <c r="B564" s="111"/>
      <c r="C564" s="111"/>
      <c r="D564" s="102"/>
      <c r="E564" s="130"/>
      <c r="F564" s="102"/>
      <c r="G564" s="122"/>
      <c r="H564" s="10"/>
      <c r="I564" s="10"/>
    </row>
    <row r="565" spans="2:9" ht="15.75">
      <c r="B565" s="111"/>
      <c r="C565" s="111"/>
      <c r="D565" s="102"/>
      <c r="E565" s="130"/>
      <c r="F565" s="102"/>
      <c r="G565" s="122"/>
      <c r="H565" s="10"/>
      <c r="I565" s="10"/>
    </row>
    <row r="566" spans="2:9" ht="15.75">
      <c r="B566" s="111"/>
      <c r="C566" s="111"/>
      <c r="D566" s="102"/>
      <c r="E566" s="130"/>
      <c r="F566" s="102"/>
      <c r="G566" s="122"/>
      <c r="H566" s="10"/>
      <c r="I566" s="10"/>
    </row>
    <row r="567" spans="2:9" ht="15.75">
      <c r="B567" s="111"/>
      <c r="C567" s="111"/>
      <c r="D567" s="102"/>
      <c r="E567" s="130"/>
      <c r="F567" s="102"/>
      <c r="G567" s="122"/>
      <c r="H567" s="10"/>
      <c r="I567" s="10"/>
    </row>
    <row r="568" spans="2:9" ht="15.75">
      <c r="B568" s="111"/>
      <c r="C568" s="111"/>
      <c r="D568" s="102"/>
      <c r="E568" s="130"/>
      <c r="F568" s="102"/>
      <c r="G568" s="122"/>
      <c r="H568" s="10"/>
      <c r="I568" s="10"/>
    </row>
    <row r="569" spans="2:9" ht="15.75">
      <c r="B569" s="111"/>
      <c r="C569" s="111"/>
      <c r="D569" s="102"/>
      <c r="E569" s="130"/>
      <c r="F569" s="102"/>
      <c r="G569" s="122"/>
      <c r="H569" s="10"/>
      <c r="I569" s="10"/>
    </row>
    <row r="570" spans="2:9" ht="15.75">
      <c r="B570" s="111"/>
      <c r="C570" s="111"/>
      <c r="D570" s="102"/>
      <c r="E570" s="130"/>
      <c r="F570" s="102"/>
      <c r="G570" s="122"/>
      <c r="H570" s="10"/>
      <c r="I570" s="10"/>
    </row>
    <row r="571" spans="2:9" ht="15.75">
      <c r="B571" s="111"/>
      <c r="C571" s="111"/>
      <c r="D571" s="102"/>
      <c r="E571" s="130"/>
      <c r="F571" s="102"/>
      <c r="G571" s="122"/>
      <c r="H571" s="10"/>
      <c r="I571" s="10"/>
    </row>
    <row r="572" spans="2:9" ht="15.75">
      <c r="B572" s="111"/>
      <c r="C572" s="111"/>
      <c r="D572" s="102"/>
      <c r="E572" s="130"/>
      <c r="F572" s="102"/>
      <c r="G572" s="122"/>
      <c r="H572" s="10"/>
      <c r="I572" s="10"/>
    </row>
    <row r="573" spans="2:9" ht="15.75">
      <c r="B573" s="111"/>
      <c r="C573" s="111"/>
      <c r="D573" s="102"/>
      <c r="E573" s="130"/>
      <c r="F573" s="102"/>
      <c r="G573" s="122"/>
      <c r="H573" s="10"/>
      <c r="I573" s="10"/>
    </row>
    <row r="574" spans="2:9" ht="15.75">
      <c r="B574" s="111"/>
      <c r="C574" s="111"/>
      <c r="D574" s="102"/>
      <c r="E574" s="130"/>
      <c r="F574" s="102"/>
      <c r="G574" s="122"/>
      <c r="H574" s="10"/>
      <c r="I574" s="10"/>
    </row>
    <row r="575" spans="2:9" ht="15.75">
      <c r="B575" s="111"/>
      <c r="C575" s="111"/>
      <c r="D575" s="102"/>
      <c r="E575" s="130"/>
      <c r="F575" s="102"/>
      <c r="G575" s="122"/>
      <c r="H575" s="10"/>
      <c r="I575" s="10"/>
    </row>
    <row r="576" spans="2:9" ht="15.75">
      <c r="B576" s="111"/>
      <c r="C576" s="111"/>
      <c r="D576" s="102"/>
      <c r="E576" s="130"/>
      <c r="F576" s="102"/>
      <c r="G576" s="122"/>
      <c r="H576" s="10"/>
      <c r="I576" s="10"/>
    </row>
    <row r="577" spans="2:9" ht="15.75">
      <c r="B577" s="111"/>
      <c r="C577" s="111"/>
      <c r="D577" s="102"/>
      <c r="E577" s="130"/>
      <c r="F577" s="102"/>
      <c r="G577" s="122"/>
      <c r="H577" s="10"/>
      <c r="I577" s="10"/>
    </row>
    <row r="578" spans="2:9" ht="15.75">
      <c r="B578" s="111"/>
      <c r="C578" s="111"/>
      <c r="D578" s="102"/>
      <c r="E578" s="130"/>
      <c r="F578" s="102"/>
      <c r="G578" s="122"/>
      <c r="H578" s="10"/>
      <c r="I578" s="10"/>
    </row>
    <row r="579" spans="2:9" ht="15.75">
      <c r="B579" s="111"/>
      <c r="C579" s="111"/>
      <c r="D579" s="102"/>
      <c r="E579" s="130"/>
      <c r="F579" s="102"/>
      <c r="G579" s="122"/>
      <c r="H579" s="10"/>
      <c r="I579" s="10"/>
    </row>
    <row r="580" spans="2:9" ht="15.75">
      <c r="B580" s="111"/>
      <c r="C580" s="111"/>
      <c r="D580" s="102"/>
      <c r="E580" s="130"/>
      <c r="F580" s="102"/>
      <c r="G580" s="122"/>
      <c r="H580" s="10"/>
      <c r="I580" s="10"/>
    </row>
    <row r="581" spans="2:9" ht="15.75">
      <c r="B581" s="111"/>
      <c r="C581" s="111"/>
      <c r="D581" s="102"/>
      <c r="E581" s="130"/>
      <c r="F581" s="102"/>
      <c r="G581" s="122"/>
      <c r="H581" s="10"/>
      <c r="I581" s="10"/>
    </row>
    <row r="582" spans="2:9" ht="15.75">
      <c r="B582" s="111"/>
      <c r="C582" s="111"/>
      <c r="D582" s="102"/>
      <c r="E582" s="130"/>
      <c r="F582" s="102"/>
      <c r="G582" s="122"/>
      <c r="H582" s="10"/>
      <c r="I582" s="10"/>
    </row>
    <row r="583" spans="2:9" ht="15.75">
      <c r="B583" s="111"/>
      <c r="C583" s="111"/>
      <c r="D583" s="102"/>
      <c r="E583" s="130"/>
      <c r="F583" s="102"/>
      <c r="G583" s="122"/>
      <c r="H583" s="10"/>
      <c r="I583" s="10"/>
    </row>
    <row r="584" spans="2:9" ht="15.75">
      <c r="B584" s="111"/>
      <c r="C584" s="111"/>
      <c r="D584" s="102"/>
      <c r="E584" s="130"/>
      <c r="F584" s="102"/>
      <c r="G584" s="122"/>
      <c r="H584" s="10"/>
      <c r="I584" s="10"/>
    </row>
    <row r="585" spans="2:9" ht="15.75">
      <c r="B585" s="111"/>
      <c r="C585" s="111"/>
      <c r="D585" s="102"/>
      <c r="E585" s="130"/>
      <c r="F585" s="102"/>
      <c r="G585" s="122"/>
      <c r="H585" s="10"/>
      <c r="I585" s="10"/>
    </row>
    <row r="586" spans="2:9" ht="15.75">
      <c r="B586" s="111"/>
      <c r="C586" s="111"/>
      <c r="D586" s="102"/>
      <c r="E586" s="130"/>
      <c r="F586" s="102"/>
      <c r="G586" s="122"/>
      <c r="H586" s="10"/>
      <c r="I586" s="10"/>
    </row>
    <row r="587" spans="2:9" ht="15.75">
      <c r="B587" s="111"/>
      <c r="C587" s="111"/>
      <c r="D587" s="102"/>
      <c r="E587" s="130"/>
      <c r="F587" s="102"/>
      <c r="G587" s="122"/>
      <c r="H587" s="10"/>
      <c r="I587" s="10"/>
    </row>
    <row r="588" spans="2:9" ht="15.75">
      <c r="B588" s="111"/>
      <c r="C588" s="111"/>
      <c r="D588" s="102"/>
      <c r="E588" s="130"/>
      <c r="F588" s="102"/>
      <c r="G588" s="122"/>
      <c r="H588" s="10"/>
      <c r="I588" s="10"/>
    </row>
    <row r="589" spans="2:9" ht="15.75">
      <c r="B589" s="111"/>
      <c r="C589" s="111"/>
      <c r="D589" s="102"/>
      <c r="E589" s="130"/>
      <c r="F589" s="102"/>
      <c r="G589" s="122"/>
      <c r="H589" s="10"/>
      <c r="I589" s="10"/>
    </row>
    <row r="590" spans="2:9" ht="15.75">
      <c r="B590" s="111"/>
      <c r="C590" s="111"/>
      <c r="D590" s="102"/>
      <c r="E590" s="130"/>
      <c r="F590" s="102"/>
      <c r="G590" s="122"/>
      <c r="H590" s="10"/>
      <c r="I590" s="10"/>
    </row>
    <row r="591" spans="2:9" ht="15.75">
      <c r="B591" s="111"/>
      <c r="C591" s="111"/>
      <c r="D591" s="102"/>
      <c r="E591" s="130"/>
      <c r="F591" s="102"/>
      <c r="G591" s="122"/>
      <c r="H591" s="10"/>
      <c r="I591" s="10"/>
    </row>
    <row r="592" spans="2:9" ht="15.75">
      <c r="B592" s="111"/>
      <c r="C592" s="111"/>
      <c r="D592" s="102"/>
      <c r="E592" s="130"/>
      <c r="F592" s="102"/>
      <c r="G592" s="122"/>
      <c r="H592" s="10"/>
      <c r="I592" s="10"/>
    </row>
    <row r="593" spans="2:9" ht="15.75">
      <c r="B593" s="111"/>
      <c r="C593" s="111"/>
      <c r="D593" s="102"/>
      <c r="E593" s="130"/>
      <c r="F593" s="102"/>
      <c r="G593" s="122"/>
      <c r="H593" s="10"/>
      <c r="I593" s="10"/>
    </row>
    <row r="594" spans="2:9" ht="15.75">
      <c r="B594" s="111"/>
      <c r="C594" s="111"/>
      <c r="D594" s="102"/>
      <c r="E594" s="130"/>
      <c r="F594" s="102"/>
      <c r="G594" s="122"/>
      <c r="H594" s="10"/>
      <c r="I594" s="10"/>
    </row>
    <row r="595" spans="2:9" ht="15.75">
      <c r="B595" s="111"/>
      <c r="C595" s="111"/>
      <c r="D595" s="102"/>
      <c r="E595" s="130"/>
      <c r="F595" s="102"/>
      <c r="G595" s="122"/>
      <c r="H595" s="10"/>
      <c r="I595" s="10"/>
    </row>
    <row r="596" spans="2:9" ht="15.75">
      <c r="B596" s="111"/>
      <c r="C596" s="111"/>
      <c r="D596" s="102"/>
      <c r="E596" s="130"/>
      <c r="F596" s="102"/>
      <c r="G596" s="122"/>
      <c r="H596" s="10"/>
      <c r="I596" s="10"/>
    </row>
    <row r="597" spans="2:9" ht="15.75">
      <c r="B597" s="111"/>
      <c r="C597" s="111"/>
      <c r="D597" s="102"/>
      <c r="E597" s="130"/>
      <c r="F597" s="102"/>
      <c r="G597" s="122"/>
      <c r="H597" s="10"/>
      <c r="I597" s="10"/>
    </row>
    <row r="598" spans="2:9" ht="15.75">
      <c r="B598" s="111"/>
      <c r="C598" s="111"/>
      <c r="D598" s="102"/>
      <c r="E598" s="130"/>
      <c r="F598" s="102"/>
      <c r="G598" s="122"/>
      <c r="H598" s="10"/>
      <c r="I598" s="10"/>
    </row>
    <row r="599" spans="2:9" ht="15.75">
      <c r="B599" s="111"/>
      <c r="C599" s="111"/>
      <c r="D599" s="102"/>
      <c r="E599" s="130"/>
      <c r="F599" s="102"/>
      <c r="G599" s="122"/>
      <c r="H599" s="10"/>
      <c r="I599" s="10"/>
    </row>
    <row r="600" spans="2:9" ht="15.75">
      <c r="B600" s="111"/>
      <c r="C600" s="111"/>
      <c r="D600" s="102"/>
      <c r="E600" s="130"/>
      <c r="F600" s="102"/>
      <c r="G600" s="122"/>
      <c r="H600" s="10"/>
      <c r="I600" s="10"/>
    </row>
    <row r="601" spans="2:9" ht="15.75">
      <c r="B601" s="111"/>
      <c r="C601" s="111"/>
      <c r="D601" s="102"/>
      <c r="E601" s="130"/>
      <c r="F601" s="102"/>
      <c r="G601" s="122"/>
      <c r="H601" s="10"/>
      <c r="I601" s="10"/>
    </row>
    <row r="602" spans="2:9" ht="15.75">
      <c r="B602" s="111"/>
      <c r="C602" s="111"/>
      <c r="D602" s="102"/>
      <c r="E602" s="130"/>
      <c r="F602" s="102"/>
      <c r="G602" s="122"/>
      <c r="H602" s="10"/>
      <c r="I602" s="10"/>
    </row>
    <row r="603" spans="2:9" ht="15.75">
      <c r="B603" s="111"/>
      <c r="C603" s="111"/>
      <c r="D603" s="102"/>
      <c r="E603" s="130"/>
      <c r="F603" s="102"/>
      <c r="G603" s="122"/>
      <c r="H603" s="10"/>
      <c r="I603" s="10"/>
    </row>
    <row r="604" spans="2:9" ht="15.75">
      <c r="B604" s="111"/>
      <c r="C604" s="111"/>
      <c r="D604" s="102"/>
      <c r="E604" s="130"/>
      <c r="F604" s="102"/>
      <c r="G604" s="122"/>
      <c r="H604" s="10"/>
      <c r="I604" s="10"/>
    </row>
    <row r="605" spans="2:9" ht="15.75">
      <c r="B605" s="111"/>
      <c r="C605" s="111"/>
      <c r="D605" s="102"/>
      <c r="E605" s="130"/>
      <c r="F605" s="102"/>
      <c r="G605" s="122"/>
      <c r="H605" s="10"/>
      <c r="I605" s="10"/>
    </row>
    <row r="606" spans="2:9" ht="15.75">
      <c r="B606" s="111"/>
      <c r="C606" s="111"/>
      <c r="D606" s="102"/>
      <c r="E606" s="130"/>
      <c r="F606" s="102"/>
      <c r="G606" s="122"/>
      <c r="H606" s="10"/>
      <c r="I606" s="10"/>
    </row>
    <row r="607" spans="2:9" ht="15.75">
      <c r="B607" s="111"/>
      <c r="C607" s="111"/>
      <c r="D607" s="102"/>
      <c r="E607" s="130"/>
      <c r="F607" s="102"/>
      <c r="G607" s="122"/>
      <c r="H607" s="10"/>
      <c r="I607" s="10"/>
    </row>
    <row r="608" spans="2:9" ht="15.75">
      <c r="B608" s="111"/>
      <c r="C608" s="111"/>
      <c r="D608" s="102"/>
      <c r="E608" s="130"/>
      <c r="F608" s="102"/>
      <c r="G608" s="122"/>
      <c r="H608" s="10"/>
      <c r="I608" s="10"/>
    </row>
    <row r="609" spans="2:9" ht="15.75">
      <c r="B609" s="111"/>
      <c r="C609" s="111"/>
      <c r="D609" s="102"/>
      <c r="E609" s="130"/>
      <c r="F609" s="102"/>
      <c r="G609" s="122"/>
      <c r="H609" s="10"/>
      <c r="I609" s="10"/>
    </row>
    <row r="610" spans="2:9" ht="15.75">
      <c r="B610" s="111"/>
      <c r="C610" s="111"/>
      <c r="D610" s="102"/>
      <c r="E610" s="130"/>
      <c r="F610" s="102"/>
      <c r="G610" s="122"/>
      <c r="H610" s="10"/>
      <c r="I610" s="10"/>
    </row>
    <row r="611" spans="2:9" ht="15.75">
      <c r="B611" s="111"/>
      <c r="C611" s="111"/>
      <c r="D611" s="102"/>
      <c r="E611" s="130"/>
      <c r="F611" s="102"/>
      <c r="G611" s="122"/>
      <c r="H611" s="10"/>
      <c r="I611" s="10"/>
    </row>
    <row r="612" spans="2:9" ht="15.75">
      <c r="B612" s="111"/>
      <c r="C612" s="111"/>
      <c r="D612" s="102"/>
      <c r="E612" s="130"/>
      <c r="F612" s="102"/>
      <c r="G612" s="122"/>
      <c r="H612" s="10"/>
      <c r="I612" s="10"/>
    </row>
    <row r="613" spans="2:9" ht="15.75">
      <c r="B613" s="111"/>
      <c r="C613" s="111"/>
      <c r="D613" s="102"/>
      <c r="E613" s="130"/>
      <c r="F613" s="102"/>
      <c r="G613" s="122"/>
      <c r="H613" s="10"/>
      <c r="I613" s="10"/>
    </row>
    <row r="614" spans="2:9" ht="15.75">
      <c r="B614" s="111"/>
      <c r="C614" s="111"/>
      <c r="D614" s="102"/>
      <c r="E614" s="130"/>
      <c r="F614" s="102"/>
      <c r="G614" s="122"/>
      <c r="H614" s="10"/>
      <c r="I614" s="10"/>
    </row>
    <row r="615" spans="2:9" ht="15.75">
      <c r="B615" s="111"/>
      <c r="C615" s="111"/>
      <c r="D615" s="102"/>
      <c r="E615" s="130"/>
      <c r="F615" s="102"/>
      <c r="G615" s="122"/>
      <c r="H615" s="10"/>
      <c r="I615" s="10"/>
    </row>
    <row r="616" spans="2:9" ht="15.75">
      <c r="B616" s="111"/>
      <c r="C616" s="111"/>
      <c r="D616" s="102"/>
      <c r="E616" s="130"/>
      <c r="F616" s="102"/>
      <c r="G616" s="122"/>
      <c r="H616" s="10"/>
      <c r="I616" s="10"/>
    </row>
    <row r="617" spans="2:9" ht="15.75">
      <c r="B617" s="111"/>
      <c r="C617" s="111"/>
      <c r="D617" s="102"/>
      <c r="E617" s="130"/>
      <c r="F617" s="102"/>
      <c r="G617" s="122"/>
      <c r="H617" s="10"/>
      <c r="I617" s="10"/>
    </row>
    <row r="618" spans="2:9" ht="15.75">
      <c r="B618" s="111"/>
      <c r="C618" s="111"/>
      <c r="D618" s="102"/>
      <c r="E618" s="130"/>
      <c r="F618" s="102"/>
      <c r="G618" s="122"/>
      <c r="H618" s="10"/>
      <c r="I618" s="10"/>
    </row>
    <row r="619" spans="2:9" ht="15.75">
      <c r="B619" s="111"/>
      <c r="C619" s="111"/>
      <c r="D619" s="102"/>
      <c r="E619" s="130"/>
      <c r="F619" s="102"/>
      <c r="G619" s="122"/>
      <c r="H619" s="10"/>
      <c r="I619" s="10"/>
    </row>
    <row r="620" spans="2:9" ht="15.75">
      <c r="B620" s="111"/>
      <c r="C620" s="111"/>
      <c r="D620" s="102"/>
      <c r="E620" s="130"/>
      <c r="F620" s="102"/>
      <c r="G620" s="122"/>
      <c r="H620" s="10"/>
      <c r="I620" s="10"/>
    </row>
    <row r="621" spans="2:9" ht="15.75">
      <c r="B621" s="111"/>
      <c r="C621" s="111"/>
      <c r="D621" s="102"/>
      <c r="E621" s="130"/>
      <c r="F621" s="102"/>
      <c r="G621" s="122"/>
      <c r="H621" s="10"/>
      <c r="I621" s="10"/>
    </row>
    <row r="622" spans="2:9" ht="15.75">
      <c r="B622" s="111"/>
      <c r="C622" s="111"/>
      <c r="D622" s="102"/>
      <c r="E622" s="130"/>
      <c r="F622" s="102"/>
      <c r="G622" s="122"/>
      <c r="H622" s="10"/>
      <c r="I622" s="10"/>
    </row>
    <row r="623" spans="2:9" ht="15.75">
      <c r="B623" s="111"/>
      <c r="C623" s="111"/>
      <c r="D623" s="102"/>
      <c r="E623" s="130"/>
      <c r="F623" s="102"/>
      <c r="G623" s="122"/>
      <c r="H623" s="10"/>
      <c r="I623" s="10"/>
    </row>
    <row r="624" spans="2:9" ht="15.75">
      <c r="B624" s="111"/>
      <c r="C624" s="111"/>
      <c r="D624" s="102"/>
      <c r="E624" s="130"/>
      <c r="F624" s="102"/>
      <c r="G624" s="122"/>
      <c r="H624" s="10"/>
      <c r="I624" s="10"/>
    </row>
    <row r="625" spans="2:9" ht="15.75">
      <c r="B625" s="111"/>
      <c r="C625" s="111"/>
      <c r="D625" s="102"/>
      <c r="E625" s="130"/>
      <c r="F625" s="102"/>
      <c r="G625" s="122"/>
      <c r="H625" s="10"/>
      <c r="I625" s="10"/>
    </row>
    <row r="626" spans="2:9" ht="15.75">
      <c r="B626" s="111"/>
      <c r="C626" s="111"/>
      <c r="D626" s="102"/>
      <c r="E626" s="130"/>
      <c r="F626" s="102"/>
      <c r="G626" s="122"/>
      <c r="H626" s="10"/>
      <c r="I626" s="10"/>
    </row>
    <row r="627" spans="2:9" ht="15.75">
      <c r="B627" s="111"/>
      <c r="C627" s="111"/>
      <c r="D627" s="102"/>
      <c r="E627" s="130"/>
      <c r="F627" s="102"/>
      <c r="G627" s="122"/>
      <c r="H627" s="10"/>
      <c r="I627" s="10"/>
    </row>
    <row r="628" spans="2:9" ht="15.75">
      <c r="B628" s="111"/>
      <c r="C628" s="111"/>
      <c r="D628" s="102"/>
      <c r="E628" s="130"/>
      <c r="F628" s="102"/>
      <c r="G628" s="122"/>
      <c r="H628" s="10"/>
      <c r="I628" s="10"/>
    </row>
    <row r="629" spans="2:9" ht="15.75">
      <c r="B629" s="111"/>
      <c r="C629" s="111"/>
      <c r="D629" s="102"/>
      <c r="E629" s="130"/>
      <c r="F629" s="102"/>
      <c r="G629" s="122"/>
      <c r="H629" s="10"/>
      <c r="I629" s="10"/>
    </row>
    <row r="630" spans="2:9" ht="15.75">
      <c r="B630" s="111"/>
      <c r="C630" s="111"/>
      <c r="D630" s="102"/>
      <c r="E630" s="130"/>
      <c r="F630" s="102"/>
      <c r="G630" s="122"/>
      <c r="H630" s="10"/>
      <c r="I630" s="10"/>
    </row>
    <row r="631" spans="2:9" ht="15.75">
      <c r="B631" s="111"/>
      <c r="C631" s="111"/>
      <c r="D631" s="102"/>
      <c r="E631" s="130"/>
      <c r="F631" s="102"/>
      <c r="G631" s="122"/>
      <c r="H631" s="10"/>
      <c r="I631" s="10"/>
    </row>
    <row r="632" spans="2:9" ht="15.75">
      <c r="B632" s="111"/>
      <c r="C632" s="111"/>
      <c r="D632" s="102"/>
      <c r="E632" s="130"/>
      <c r="F632" s="102"/>
      <c r="G632" s="122"/>
      <c r="H632" s="10"/>
      <c r="I632" s="10"/>
    </row>
    <row r="633" spans="2:9" ht="15.75">
      <c r="B633" s="111"/>
      <c r="C633" s="111"/>
      <c r="D633" s="102"/>
      <c r="E633" s="130"/>
      <c r="F633" s="102"/>
      <c r="G633" s="122"/>
      <c r="H633" s="10"/>
      <c r="I633" s="10"/>
    </row>
    <row r="634" spans="2:9" ht="15.75">
      <c r="B634" s="111"/>
      <c r="C634" s="111"/>
      <c r="D634" s="102"/>
      <c r="E634" s="130"/>
      <c r="F634" s="102"/>
      <c r="G634" s="122"/>
      <c r="H634" s="10"/>
      <c r="I634" s="10"/>
    </row>
    <row r="635" spans="2:9" ht="15.75">
      <c r="B635" s="111"/>
      <c r="C635" s="111"/>
      <c r="D635" s="102"/>
      <c r="E635" s="130"/>
      <c r="F635" s="102"/>
      <c r="G635" s="122"/>
      <c r="H635" s="10"/>
      <c r="I635" s="10"/>
    </row>
    <row r="636" spans="2:9" ht="15.75">
      <c r="B636" s="111"/>
      <c r="C636" s="111"/>
      <c r="D636" s="102"/>
      <c r="E636" s="130"/>
      <c r="F636" s="102"/>
      <c r="G636" s="122"/>
      <c r="H636" s="10"/>
      <c r="I636" s="10"/>
    </row>
    <row r="637" spans="2:9" ht="15.75">
      <c r="B637" s="111"/>
      <c r="C637" s="111"/>
      <c r="D637" s="102"/>
      <c r="E637" s="130"/>
      <c r="F637" s="102"/>
      <c r="G637" s="122"/>
      <c r="H637" s="10"/>
      <c r="I637" s="10"/>
    </row>
    <row r="638" spans="2:9" ht="15.75">
      <c r="B638" s="111"/>
      <c r="C638" s="111"/>
      <c r="D638" s="102"/>
      <c r="E638" s="130"/>
      <c r="F638" s="102"/>
      <c r="G638" s="122"/>
      <c r="H638" s="10"/>
      <c r="I638" s="10"/>
    </row>
    <row r="639" spans="2:9" ht="15.75">
      <c r="B639" s="111"/>
      <c r="C639" s="111"/>
      <c r="D639" s="102"/>
      <c r="E639" s="130"/>
      <c r="F639" s="102"/>
      <c r="G639" s="122"/>
      <c r="H639" s="10"/>
      <c r="I639" s="10"/>
    </row>
    <row r="640" spans="2:9" ht="15.75">
      <c r="B640" s="111"/>
      <c r="C640" s="111"/>
      <c r="D640" s="102"/>
      <c r="E640" s="130"/>
      <c r="F640" s="102"/>
      <c r="G640" s="122"/>
      <c r="H640" s="10"/>
      <c r="I640" s="10"/>
    </row>
    <row r="641" spans="2:9" ht="15.75">
      <c r="B641" s="111"/>
      <c r="C641" s="111"/>
      <c r="D641" s="102"/>
      <c r="E641" s="130"/>
      <c r="F641" s="102"/>
      <c r="G641" s="122"/>
      <c r="H641" s="10"/>
      <c r="I641" s="10"/>
    </row>
    <row r="642" spans="2:9" ht="15.75">
      <c r="B642" s="111"/>
      <c r="C642" s="111"/>
      <c r="D642" s="102"/>
      <c r="E642" s="130"/>
      <c r="F642" s="102"/>
      <c r="G642" s="122"/>
      <c r="H642" s="10"/>
      <c r="I642" s="10"/>
    </row>
    <row r="643" spans="2:9" ht="15.75">
      <c r="B643" s="111"/>
      <c r="C643" s="111"/>
      <c r="D643" s="102"/>
      <c r="E643" s="130"/>
      <c r="F643" s="102"/>
      <c r="G643" s="122"/>
      <c r="H643" s="10"/>
      <c r="I643" s="10"/>
    </row>
    <row r="644" spans="2:9" ht="15.75">
      <c r="B644" s="111"/>
      <c r="C644" s="111"/>
      <c r="D644" s="102"/>
      <c r="E644" s="130"/>
      <c r="F644" s="102"/>
      <c r="G644" s="122"/>
      <c r="H644" s="10"/>
      <c r="I644" s="10"/>
    </row>
    <row r="645" spans="2:9" ht="15.75">
      <c r="B645" s="111"/>
      <c r="C645" s="111"/>
      <c r="D645" s="102"/>
      <c r="E645" s="130"/>
      <c r="F645" s="102"/>
      <c r="G645" s="122"/>
      <c r="H645" s="10"/>
      <c r="I645" s="10"/>
    </row>
    <row r="646" spans="2:9" ht="15.75">
      <c r="B646" s="111"/>
      <c r="C646" s="111"/>
      <c r="D646" s="102"/>
      <c r="E646" s="130"/>
      <c r="F646" s="102"/>
      <c r="G646" s="122"/>
      <c r="H646" s="10"/>
      <c r="I646" s="10"/>
    </row>
    <row r="647" spans="2:9" ht="15.75">
      <c r="B647" s="111"/>
      <c r="C647" s="111"/>
      <c r="D647" s="102"/>
      <c r="E647" s="130"/>
      <c r="F647" s="102"/>
      <c r="G647" s="122"/>
      <c r="H647" s="10"/>
      <c r="I647" s="10"/>
    </row>
    <row r="648" spans="2:9" ht="15.75">
      <c r="B648" s="111"/>
      <c r="C648" s="111"/>
      <c r="D648" s="102"/>
      <c r="E648" s="130"/>
      <c r="F648" s="102"/>
      <c r="G648" s="122"/>
      <c r="H648" s="10"/>
      <c r="I648" s="10"/>
    </row>
    <row r="649" spans="2:9" ht="15.75">
      <c r="B649" s="111"/>
      <c r="C649" s="111"/>
      <c r="D649" s="102"/>
      <c r="E649" s="130"/>
      <c r="F649" s="102"/>
      <c r="G649" s="122"/>
      <c r="H649" s="10"/>
      <c r="I649" s="10"/>
    </row>
    <row r="650" spans="2:9" ht="15.75">
      <c r="B650" s="111"/>
      <c r="C650" s="111"/>
      <c r="D650" s="102"/>
      <c r="E650" s="130"/>
      <c r="F650" s="102"/>
      <c r="G650" s="122"/>
      <c r="H650" s="10"/>
      <c r="I650" s="10"/>
    </row>
    <row r="651" spans="2:9" ht="15.75">
      <c r="B651" s="111"/>
      <c r="C651" s="111"/>
      <c r="D651" s="102"/>
      <c r="E651" s="130"/>
      <c r="F651" s="102"/>
      <c r="G651" s="122"/>
      <c r="H651" s="10"/>
      <c r="I651" s="10"/>
    </row>
    <row r="652" spans="2:9" ht="15.75">
      <c r="B652" s="111"/>
      <c r="C652" s="111"/>
      <c r="D652" s="102"/>
      <c r="E652" s="130"/>
      <c r="F652" s="102"/>
      <c r="G652" s="122"/>
      <c r="H652" s="10"/>
      <c r="I652" s="10"/>
    </row>
    <row r="653" spans="2:9" ht="15.75">
      <c r="B653" s="111"/>
      <c r="C653" s="111"/>
      <c r="D653" s="102"/>
      <c r="E653" s="130"/>
      <c r="F653" s="102"/>
      <c r="G653" s="122"/>
      <c r="H653" s="10"/>
      <c r="I653" s="10"/>
    </row>
    <row r="654" spans="2:9" ht="15.75">
      <c r="B654" s="111"/>
      <c r="C654" s="111"/>
      <c r="D654" s="102"/>
      <c r="E654" s="130"/>
      <c r="F654" s="102"/>
      <c r="G654" s="122"/>
      <c r="H654" s="10"/>
      <c r="I654" s="10"/>
    </row>
    <row r="655" spans="2:9" ht="15.75">
      <c r="B655" s="111"/>
      <c r="C655" s="111"/>
      <c r="D655" s="102"/>
      <c r="E655" s="130"/>
      <c r="F655" s="102"/>
      <c r="G655" s="122"/>
      <c r="H655" s="10"/>
      <c r="I655" s="10"/>
    </row>
    <row r="656" spans="2:9" ht="15.75">
      <c r="B656" s="111"/>
      <c r="C656" s="111"/>
      <c r="D656" s="102"/>
      <c r="E656" s="130"/>
      <c r="F656" s="102"/>
      <c r="G656" s="122"/>
      <c r="H656" s="10"/>
      <c r="I656" s="10"/>
    </row>
    <row r="657" spans="2:9" ht="15.75">
      <c r="B657" s="111"/>
      <c r="C657" s="111"/>
      <c r="D657" s="102"/>
      <c r="E657" s="130"/>
      <c r="F657" s="102"/>
      <c r="G657" s="122"/>
      <c r="H657" s="10"/>
      <c r="I657" s="10"/>
    </row>
    <row r="658" spans="2:9" ht="15.75">
      <c r="B658" s="111"/>
      <c r="C658" s="111"/>
      <c r="D658" s="102"/>
      <c r="E658" s="130"/>
      <c r="F658" s="102"/>
      <c r="G658" s="122"/>
      <c r="H658" s="10"/>
      <c r="I658" s="10"/>
    </row>
    <row r="659" spans="2:9" ht="15.75">
      <c r="B659" s="111"/>
      <c r="C659" s="111"/>
      <c r="D659" s="102"/>
      <c r="E659" s="130"/>
      <c r="F659" s="102"/>
      <c r="G659" s="122"/>
      <c r="H659" s="10"/>
      <c r="I659" s="10"/>
    </row>
    <row r="660" spans="2:9" ht="15.75">
      <c r="B660" s="111"/>
      <c r="C660" s="111"/>
      <c r="D660" s="102"/>
      <c r="E660" s="130"/>
      <c r="F660" s="102"/>
      <c r="G660" s="122"/>
      <c r="H660" s="10"/>
      <c r="I660" s="10"/>
    </row>
    <row r="661" spans="2:9" ht="15.75">
      <c r="B661" s="111"/>
      <c r="C661" s="111"/>
      <c r="D661" s="102"/>
      <c r="E661" s="130"/>
      <c r="F661" s="102"/>
      <c r="G661" s="122"/>
      <c r="H661" s="10"/>
      <c r="I661" s="10"/>
    </row>
    <row r="662" spans="2:9" ht="15.75">
      <c r="B662" s="111"/>
      <c r="C662" s="111"/>
      <c r="D662" s="102"/>
      <c r="E662" s="130"/>
      <c r="F662" s="102"/>
      <c r="G662" s="122"/>
      <c r="H662" s="10"/>
      <c r="I662" s="10"/>
    </row>
    <row r="663" spans="2:9" ht="15.75">
      <c r="B663" s="111"/>
      <c r="C663" s="111"/>
      <c r="D663" s="102"/>
      <c r="E663" s="130"/>
      <c r="F663" s="102"/>
      <c r="G663" s="122"/>
      <c r="H663" s="10"/>
      <c r="I663" s="10"/>
    </row>
    <row r="664" spans="2:9" ht="15.75">
      <c r="B664" s="111"/>
      <c r="C664" s="111"/>
      <c r="D664" s="102"/>
      <c r="E664" s="130"/>
      <c r="F664" s="102"/>
      <c r="G664" s="122"/>
      <c r="H664" s="10"/>
      <c r="I664" s="10"/>
    </row>
    <row r="665" spans="2:9" ht="15.75">
      <c r="B665" s="111"/>
      <c r="C665" s="111"/>
      <c r="D665" s="102"/>
      <c r="E665" s="130"/>
      <c r="F665" s="102"/>
      <c r="G665" s="122"/>
      <c r="H665" s="10"/>
      <c r="I665" s="10"/>
    </row>
    <row r="666" spans="2:9" ht="15.75">
      <c r="B666" s="111"/>
      <c r="C666" s="111"/>
      <c r="D666" s="102"/>
      <c r="E666" s="130"/>
      <c r="F666" s="102"/>
      <c r="G666" s="122"/>
      <c r="H666" s="10"/>
      <c r="I666" s="10"/>
    </row>
    <row r="667" spans="2:9" ht="15.75">
      <c r="B667" s="111"/>
      <c r="C667" s="111"/>
      <c r="D667" s="102"/>
      <c r="E667" s="130"/>
      <c r="F667" s="102"/>
      <c r="G667" s="122"/>
      <c r="H667" s="10"/>
      <c r="I667" s="10"/>
    </row>
    <row r="668" spans="2:9" ht="15.75">
      <c r="B668" s="111"/>
      <c r="C668" s="111"/>
      <c r="D668" s="102"/>
      <c r="E668" s="130"/>
      <c r="F668" s="102"/>
      <c r="G668" s="122"/>
      <c r="H668" s="10"/>
      <c r="I668" s="10"/>
    </row>
    <row r="669" spans="2:9" ht="15.75">
      <c r="B669" s="111"/>
      <c r="C669" s="111"/>
      <c r="D669" s="102"/>
      <c r="E669" s="130"/>
      <c r="F669" s="102"/>
      <c r="G669" s="122"/>
      <c r="H669" s="10"/>
      <c r="I669" s="10"/>
    </row>
    <row r="670" spans="2:9" ht="15.75">
      <c r="B670" s="111"/>
      <c r="C670" s="111"/>
      <c r="D670" s="102"/>
      <c r="E670" s="130"/>
      <c r="F670" s="102"/>
      <c r="G670" s="122"/>
      <c r="H670" s="10"/>
      <c r="I670" s="10"/>
    </row>
    <row r="671" spans="2:9" ht="15.75">
      <c r="B671" s="111"/>
      <c r="C671" s="111"/>
      <c r="D671" s="102"/>
      <c r="E671" s="130"/>
      <c r="F671" s="102"/>
      <c r="G671" s="122"/>
      <c r="H671" s="10"/>
      <c r="I671" s="10"/>
    </row>
    <row r="672" spans="2:9" ht="15.75">
      <c r="B672" s="111"/>
      <c r="C672" s="111"/>
      <c r="D672" s="102"/>
      <c r="E672" s="130"/>
      <c r="F672" s="102"/>
      <c r="G672" s="122"/>
      <c r="H672" s="10"/>
      <c r="I672" s="10"/>
    </row>
    <row r="673" spans="2:9" ht="15.75">
      <c r="B673" s="111"/>
      <c r="C673" s="111"/>
      <c r="D673" s="102"/>
      <c r="E673" s="130"/>
      <c r="F673" s="102"/>
      <c r="G673" s="122"/>
      <c r="H673" s="10"/>
      <c r="I673" s="10"/>
    </row>
    <row r="674" spans="2:9" ht="15.75">
      <c r="B674" s="111"/>
      <c r="C674" s="111"/>
      <c r="D674" s="102"/>
      <c r="E674" s="130"/>
      <c r="F674" s="102"/>
      <c r="G674" s="122"/>
      <c r="H674" s="10"/>
      <c r="I674" s="10"/>
    </row>
    <row r="675" spans="2:9" ht="15.75">
      <c r="B675" s="111"/>
      <c r="C675" s="111"/>
      <c r="D675" s="102"/>
      <c r="E675" s="130"/>
      <c r="F675" s="102"/>
      <c r="G675" s="122"/>
      <c r="H675" s="10"/>
      <c r="I675" s="10"/>
    </row>
    <row r="676" spans="2:9" ht="15.75">
      <c r="B676" s="111"/>
      <c r="C676" s="111"/>
      <c r="D676" s="102"/>
      <c r="E676" s="130"/>
      <c r="F676" s="102"/>
      <c r="G676" s="122"/>
      <c r="H676" s="10"/>
      <c r="I676" s="10"/>
    </row>
    <row r="677" spans="2:9" ht="15.75">
      <c r="B677" s="111"/>
      <c r="C677" s="111"/>
      <c r="D677" s="102"/>
      <c r="E677" s="130"/>
      <c r="F677" s="102"/>
      <c r="G677" s="122"/>
      <c r="H677" s="10"/>
      <c r="I677" s="10"/>
    </row>
    <row r="678" spans="2:9" ht="15.75">
      <c r="B678" s="111"/>
      <c r="C678" s="111"/>
      <c r="D678" s="102"/>
      <c r="E678" s="130"/>
      <c r="F678" s="102"/>
      <c r="G678" s="122"/>
      <c r="H678" s="10"/>
      <c r="I678" s="10"/>
    </row>
    <row r="679" spans="2:9" ht="15.75">
      <c r="B679" s="111"/>
      <c r="C679" s="111"/>
      <c r="D679" s="102"/>
      <c r="E679" s="130"/>
      <c r="F679" s="102"/>
      <c r="G679" s="122"/>
      <c r="H679" s="10"/>
      <c r="I679" s="10"/>
    </row>
    <row r="680" spans="2:9" ht="15.75">
      <c r="B680" s="111"/>
      <c r="C680" s="111"/>
      <c r="D680" s="102"/>
      <c r="E680" s="130"/>
      <c r="F680" s="102"/>
      <c r="G680" s="122"/>
      <c r="H680" s="10"/>
      <c r="I680" s="10"/>
    </row>
    <row r="681" spans="2:9" ht="15.75">
      <c r="B681" s="111"/>
      <c r="C681" s="111"/>
      <c r="D681" s="102"/>
      <c r="E681" s="130"/>
      <c r="F681" s="102"/>
      <c r="G681" s="122"/>
      <c r="H681" s="10"/>
      <c r="I681" s="10"/>
    </row>
    <row r="682" spans="2:9" ht="15.75">
      <c r="B682" s="111"/>
      <c r="C682" s="111"/>
      <c r="D682" s="102"/>
      <c r="E682" s="130"/>
      <c r="F682" s="102"/>
      <c r="G682" s="122"/>
      <c r="H682" s="10"/>
      <c r="I682" s="10"/>
    </row>
    <row r="683" spans="2:9" ht="15.75">
      <c r="B683" s="111"/>
      <c r="C683" s="111"/>
      <c r="D683" s="102"/>
      <c r="E683" s="130"/>
      <c r="F683" s="102"/>
      <c r="G683" s="122"/>
      <c r="H683" s="10"/>
      <c r="I683" s="10"/>
    </row>
    <row r="684" spans="2:9" ht="15.75">
      <c r="B684" s="111"/>
      <c r="C684" s="111"/>
      <c r="D684" s="102"/>
      <c r="E684" s="130"/>
      <c r="F684" s="102"/>
      <c r="G684" s="122"/>
      <c r="H684" s="10"/>
      <c r="I684" s="10"/>
    </row>
    <row r="685" spans="2:9" ht="15.75">
      <c r="B685" s="111"/>
      <c r="C685" s="111"/>
      <c r="D685" s="102"/>
      <c r="E685" s="130"/>
      <c r="F685" s="102"/>
      <c r="G685" s="122"/>
      <c r="H685" s="10"/>
      <c r="I685" s="10"/>
    </row>
    <row r="686" spans="2:9" ht="15.75">
      <c r="B686" s="111"/>
      <c r="C686" s="111"/>
      <c r="D686" s="102"/>
      <c r="E686" s="130"/>
      <c r="F686" s="102"/>
      <c r="G686" s="122"/>
      <c r="H686" s="10"/>
      <c r="I686" s="10"/>
    </row>
    <row r="687" spans="2:9" ht="15.75">
      <c r="B687" s="111"/>
      <c r="C687" s="111"/>
      <c r="D687" s="102"/>
      <c r="E687" s="130"/>
      <c r="F687" s="102"/>
      <c r="G687" s="122"/>
      <c r="H687" s="10"/>
      <c r="I687" s="10"/>
    </row>
    <row r="688" spans="2:9" ht="15.75">
      <c r="B688" s="111"/>
      <c r="C688" s="111"/>
      <c r="D688" s="102"/>
      <c r="E688" s="130"/>
      <c r="F688" s="102"/>
      <c r="G688" s="122"/>
      <c r="H688" s="10"/>
      <c r="I688" s="10"/>
    </row>
    <row r="689" spans="2:9" ht="15.75">
      <c r="B689" s="111"/>
      <c r="C689" s="111"/>
      <c r="D689" s="102"/>
      <c r="E689" s="130"/>
      <c r="F689" s="102"/>
      <c r="G689" s="122"/>
      <c r="H689" s="10"/>
      <c r="I689" s="10"/>
    </row>
    <row r="690" spans="2:9" ht="15.75">
      <c r="B690" s="111"/>
      <c r="C690" s="111"/>
      <c r="D690" s="102"/>
      <c r="E690" s="130"/>
      <c r="F690" s="102"/>
      <c r="G690" s="122"/>
      <c r="H690" s="10"/>
      <c r="I690" s="10"/>
    </row>
    <row r="691" spans="2:9" ht="15.75">
      <c r="B691" s="111"/>
      <c r="C691" s="111"/>
      <c r="D691" s="102"/>
      <c r="E691" s="130"/>
      <c r="F691" s="102"/>
      <c r="G691" s="122"/>
      <c r="H691" s="10"/>
      <c r="I691" s="10"/>
    </row>
    <row r="692" spans="2:9" ht="15.75">
      <c r="B692" s="111"/>
      <c r="C692" s="111"/>
      <c r="D692" s="102"/>
      <c r="E692" s="130"/>
      <c r="F692" s="102"/>
      <c r="G692" s="122"/>
      <c r="H692" s="10"/>
      <c r="I692" s="10"/>
    </row>
    <row r="693" spans="2:9" ht="15.75">
      <c r="B693" s="111"/>
      <c r="C693" s="111"/>
      <c r="D693" s="102"/>
      <c r="E693" s="130"/>
      <c r="F693" s="102"/>
      <c r="G693" s="122"/>
      <c r="H693" s="10"/>
      <c r="I693" s="10"/>
    </row>
    <row r="694" spans="2:9" ht="15.75">
      <c r="B694" s="111"/>
      <c r="C694" s="111"/>
      <c r="D694" s="102"/>
      <c r="E694" s="130"/>
      <c r="F694" s="102"/>
      <c r="G694" s="122"/>
      <c r="H694" s="10"/>
      <c r="I694" s="10"/>
    </row>
    <row r="695" spans="2:9" ht="15.75">
      <c r="B695" s="111"/>
      <c r="C695" s="111"/>
      <c r="D695" s="102"/>
      <c r="E695" s="130"/>
      <c r="F695" s="102"/>
      <c r="G695" s="122"/>
      <c r="H695" s="10"/>
      <c r="I695" s="10"/>
    </row>
    <row r="696" spans="2:9" ht="15.75">
      <c r="B696" s="111"/>
      <c r="C696" s="111"/>
      <c r="D696" s="102"/>
      <c r="E696" s="130"/>
      <c r="F696" s="102"/>
      <c r="G696" s="122"/>
      <c r="H696" s="10"/>
      <c r="I696" s="10"/>
    </row>
    <row r="697" spans="2:9" ht="15.75">
      <c r="B697" s="111"/>
      <c r="C697" s="111"/>
      <c r="D697" s="102"/>
      <c r="E697" s="130"/>
      <c r="F697" s="102"/>
      <c r="G697" s="122"/>
      <c r="H697" s="10"/>
      <c r="I697" s="10"/>
    </row>
    <row r="698" spans="2:9" ht="15.75">
      <c r="B698" s="111"/>
      <c r="C698" s="111"/>
      <c r="D698" s="102"/>
      <c r="E698" s="130"/>
      <c r="F698" s="102"/>
      <c r="G698" s="122"/>
      <c r="H698" s="10"/>
      <c r="I698" s="10"/>
    </row>
    <row r="699" spans="2:9" ht="15.75">
      <c r="B699" s="111"/>
      <c r="C699" s="111"/>
      <c r="D699" s="102"/>
      <c r="E699" s="130"/>
      <c r="F699" s="102"/>
      <c r="G699" s="122"/>
      <c r="H699" s="10"/>
      <c r="I699" s="10"/>
    </row>
    <row r="700" spans="2:9" ht="15.75">
      <c r="B700" s="111"/>
      <c r="C700" s="111"/>
      <c r="D700" s="102"/>
      <c r="E700" s="130"/>
      <c r="F700" s="102"/>
      <c r="G700" s="122"/>
      <c r="H700" s="10"/>
      <c r="I700" s="10"/>
    </row>
    <row r="701" spans="2:9" ht="15.75">
      <c r="B701" s="111"/>
      <c r="C701" s="111"/>
      <c r="D701" s="102"/>
      <c r="E701" s="130"/>
      <c r="F701" s="102"/>
      <c r="G701" s="122"/>
      <c r="H701" s="10"/>
      <c r="I701" s="10"/>
    </row>
    <row r="702" spans="2:9" ht="15.75">
      <c r="B702" s="111"/>
      <c r="C702" s="111"/>
      <c r="D702" s="102"/>
      <c r="E702" s="130"/>
      <c r="F702" s="102"/>
      <c r="G702" s="122"/>
      <c r="H702" s="10"/>
      <c r="I702" s="10"/>
    </row>
    <row r="703" spans="2:9" ht="15.75">
      <c r="B703" s="111"/>
      <c r="C703" s="111"/>
      <c r="D703" s="102"/>
      <c r="E703" s="130"/>
      <c r="F703" s="102"/>
      <c r="G703" s="122"/>
      <c r="H703" s="10"/>
      <c r="I703" s="10"/>
    </row>
    <row r="704" spans="2:9" ht="15.75">
      <c r="B704" s="111"/>
      <c r="C704" s="111"/>
      <c r="D704" s="102"/>
      <c r="E704" s="130"/>
      <c r="F704" s="102"/>
      <c r="G704" s="122"/>
      <c r="H704" s="10"/>
      <c r="I704" s="10"/>
    </row>
    <row r="705" spans="2:9" ht="15.75">
      <c r="B705" s="111"/>
      <c r="C705" s="111"/>
      <c r="D705" s="102"/>
      <c r="E705" s="130"/>
      <c r="F705" s="102"/>
      <c r="G705" s="122"/>
      <c r="H705" s="10"/>
      <c r="I705" s="10"/>
    </row>
    <row r="706" spans="2:9" ht="15.75">
      <c r="B706" s="111"/>
      <c r="C706" s="111"/>
      <c r="D706" s="102"/>
      <c r="E706" s="130"/>
      <c r="F706" s="102"/>
      <c r="G706" s="122"/>
      <c r="H706" s="10"/>
      <c r="I706" s="10"/>
    </row>
    <row r="707" spans="2:9" ht="15.75">
      <c r="B707" s="111"/>
      <c r="C707" s="111"/>
      <c r="D707" s="102"/>
      <c r="E707" s="130"/>
      <c r="F707" s="102"/>
      <c r="G707" s="122"/>
      <c r="H707" s="10"/>
      <c r="I707" s="10"/>
    </row>
    <row r="708" spans="2:9" ht="15.75">
      <c r="B708" s="111"/>
      <c r="C708" s="111"/>
      <c r="D708" s="102"/>
      <c r="E708" s="130"/>
      <c r="F708" s="102"/>
      <c r="G708" s="122"/>
      <c r="H708" s="10"/>
      <c r="I708" s="10"/>
    </row>
    <row r="709" spans="2:9" ht="15.75">
      <c r="B709" s="111"/>
      <c r="C709" s="111"/>
      <c r="D709" s="102"/>
      <c r="E709" s="130"/>
      <c r="F709" s="102"/>
      <c r="G709" s="122"/>
      <c r="H709" s="10"/>
      <c r="I709" s="10"/>
    </row>
    <row r="710" spans="2:9" ht="15.75">
      <c r="B710" s="111"/>
      <c r="C710" s="111"/>
      <c r="D710" s="102"/>
      <c r="E710" s="130"/>
      <c r="F710" s="102"/>
      <c r="G710" s="122"/>
      <c r="H710" s="10"/>
      <c r="I710" s="10"/>
    </row>
    <row r="711" spans="2:9" ht="15.75">
      <c r="B711" s="111"/>
      <c r="C711" s="111"/>
      <c r="D711" s="102"/>
      <c r="E711" s="130"/>
      <c r="F711" s="102"/>
      <c r="G711" s="122"/>
      <c r="H711" s="10"/>
      <c r="I711" s="10"/>
    </row>
    <row r="712" spans="2:9" ht="15.75">
      <c r="B712" s="111"/>
      <c r="C712" s="111"/>
      <c r="D712" s="102"/>
      <c r="E712" s="130"/>
      <c r="F712" s="102"/>
      <c r="G712" s="122"/>
      <c r="H712" s="10"/>
      <c r="I712" s="10"/>
    </row>
    <row r="713" spans="2:9" ht="15.75">
      <c r="B713" s="111"/>
      <c r="C713" s="111"/>
      <c r="D713" s="102"/>
      <c r="E713" s="130"/>
      <c r="F713" s="102"/>
      <c r="G713" s="122"/>
      <c r="H713" s="10"/>
      <c r="I713" s="10"/>
    </row>
    <row r="714" spans="2:9" ht="15.75">
      <c r="B714" s="111"/>
      <c r="C714" s="111"/>
      <c r="D714" s="102"/>
      <c r="E714" s="130"/>
      <c r="F714" s="102"/>
      <c r="G714" s="122"/>
      <c r="H714" s="10"/>
      <c r="I714" s="10"/>
    </row>
    <row r="715" spans="2:9" ht="15.75">
      <c r="B715" s="111"/>
      <c r="C715" s="111"/>
      <c r="D715" s="102"/>
      <c r="E715" s="130"/>
      <c r="F715" s="102"/>
      <c r="G715" s="122"/>
      <c r="H715" s="10"/>
      <c r="I715" s="10"/>
    </row>
    <row r="716" spans="2:9" ht="15.75">
      <c r="B716" s="111"/>
      <c r="C716" s="111"/>
      <c r="D716" s="102"/>
      <c r="E716" s="130"/>
      <c r="F716" s="102"/>
      <c r="G716" s="122"/>
      <c r="H716" s="10"/>
      <c r="I716" s="10"/>
    </row>
    <row r="717" spans="2:9" ht="15.75">
      <c r="B717" s="111"/>
      <c r="C717" s="111"/>
      <c r="D717" s="102"/>
      <c r="E717" s="130"/>
      <c r="F717" s="102"/>
      <c r="G717" s="122"/>
      <c r="H717" s="10"/>
      <c r="I717" s="10"/>
    </row>
    <row r="718" spans="2:9" ht="15.75">
      <c r="B718" s="111"/>
      <c r="C718" s="111"/>
      <c r="D718" s="102"/>
      <c r="E718" s="130"/>
      <c r="F718" s="102"/>
      <c r="G718" s="122"/>
      <c r="H718" s="10"/>
      <c r="I718" s="10"/>
    </row>
    <row r="719" spans="2:9" ht="15.75">
      <c r="B719" s="111"/>
      <c r="C719" s="111"/>
      <c r="D719" s="102"/>
      <c r="E719" s="130"/>
      <c r="F719" s="102"/>
      <c r="G719" s="122"/>
      <c r="H719" s="10"/>
      <c r="I719" s="10"/>
    </row>
    <row r="720" spans="2:9" ht="15.75">
      <c r="B720" s="111"/>
      <c r="C720" s="111"/>
      <c r="D720" s="102"/>
      <c r="E720" s="130"/>
      <c r="F720" s="102"/>
      <c r="G720" s="122"/>
      <c r="H720" s="10"/>
      <c r="I720" s="10"/>
    </row>
    <row r="721" spans="2:9" ht="15.75">
      <c r="B721" s="111"/>
      <c r="C721" s="111"/>
      <c r="D721" s="102"/>
      <c r="E721" s="130"/>
      <c r="F721" s="102"/>
      <c r="G721" s="122"/>
      <c r="H721" s="10"/>
      <c r="I721" s="10"/>
    </row>
    <row r="722" spans="2:9" ht="15.75">
      <c r="B722" s="111"/>
      <c r="C722" s="111"/>
      <c r="D722" s="102"/>
      <c r="E722" s="130"/>
      <c r="F722" s="102"/>
      <c r="G722" s="122"/>
      <c r="H722" s="10"/>
      <c r="I722" s="10"/>
    </row>
    <row r="723" spans="2:9" ht="15.75">
      <c r="B723" s="111"/>
      <c r="C723" s="111"/>
      <c r="D723" s="102"/>
      <c r="E723" s="130"/>
      <c r="F723" s="102"/>
      <c r="G723" s="122"/>
      <c r="H723" s="10"/>
      <c r="I723" s="10"/>
    </row>
    <row r="724" spans="2:9" ht="15.75">
      <c r="B724" s="111"/>
      <c r="C724" s="111"/>
      <c r="D724" s="102"/>
      <c r="E724" s="130"/>
      <c r="F724" s="102"/>
      <c r="G724" s="122"/>
      <c r="H724" s="10"/>
      <c r="I724" s="10"/>
    </row>
    <row r="725" spans="2:9" ht="15.75">
      <c r="B725" s="111"/>
      <c r="C725" s="111"/>
      <c r="D725" s="102"/>
      <c r="E725" s="130"/>
      <c r="F725" s="102"/>
      <c r="G725" s="122"/>
      <c r="H725" s="10"/>
      <c r="I725" s="10"/>
    </row>
    <row r="726" spans="2:9" ht="15.75">
      <c r="B726" s="111"/>
      <c r="C726" s="111"/>
      <c r="D726" s="102"/>
      <c r="E726" s="130"/>
      <c r="F726" s="102"/>
      <c r="G726" s="122"/>
      <c r="H726" s="10"/>
      <c r="I726" s="10"/>
    </row>
    <row r="727" spans="2:9" ht="15.75">
      <c r="B727" s="111"/>
      <c r="C727" s="111"/>
      <c r="D727" s="102"/>
      <c r="E727" s="130"/>
      <c r="F727" s="102"/>
      <c r="G727" s="122"/>
      <c r="H727" s="10"/>
      <c r="I727" s="10"/>
    </row>
    <row r="728" spans="2:9" ht="15.75">
      <c r="B728" s="111"/>
      <c r="C728" s="111"/>
      <c r="D728" s="102"/>
      <c r="E728" s="130"/>
      <c r="F728" s="102"/>
      <c r="G728" s="122"/>
      <c r="H728" s="10"/>
      <c r="I728" s="10"/>
    </row>
    <row r="729" spans="2:9" ht="15.75">
      <c r="B729" s="111"/>
      <c r="C729" s="111"/>
      <c r="D729" s="102"/>
      <c r="E729" s="130"/>
      <c r="F729" s="102"/>
      <c r="G729" s="122"/>
      <c r="H729" s="10"/>
      <c r="I729" s="10"/>
    </row>
    <row r="730" spans="2:9" ht="15.75">
      <c r="B730" s="111"/>
      <c r="C730" s="111"/>
      <c r="D730" s="102"/>
      <c r="E730" s="130"/>
      <c r="F730" s="102"/>
      <c r="G730" s="122"/>
      <c r="H730" s="10"/>
      <c r="I730" s="10"/>
    </row>
    <row r="731" spans="2:9" ht="15.75">
      <c r="B731" s="111"/>
      <c r="C731" s="111"/>
      <c r="D731" s="102"/>
      <c r="E731" s="130"/>
      <c r="F731" s="102"/>
      <c r="G731" s="122"/>
      <c r="H731" s="10"/>
      <c r="I731" s="10"/>
    </row>
    <row r="732" spans="2:9" ht="15.75">
      <c r="B732" s="111"/>
      <c r="C732" s="111"/>
      <c r="D732" s="102"/>
      <c r="E732" s="130"/>
      <c r="F732" s="102"/>
      <c r="G732" s="122"/>
      <c r="H732" s="10"/>
      <c r="I732" s="10"/>
    </row>
    <row r="733" spans="2:9" ht="15.75">
      <c r="B733" s="111"/>
      <c r="C733" s="111"/>
      <c r="D733" s="102"/>
      <c r="E733" s="130"/>
      <c r="F733" s="102"/>
      <c r="G733" s="122"/>
      <c r="H733" s="10"/>
      <c r="I733" s="10"/>
    </row>
    <row r="734" spans="2:9" ht="15.75">
      <c r="B734" s="111"/>
      <c r="C734" s="111"/>
      <c r="D734" s="102"/>
      <c r="E734" s="130"/>
      <c r="F734" s="102"/>
      <c r="G734" s="122"/>
      <c r="H734" s="10"/>
      <c r="I734" s="10"/>
    </row>
    <row r="735" spans="2:9" ht="15.75">
      <c r="B735" s="111"/>
      <c r="C735" s="111"/>
      <c r="D735" s="102"/>
      <c r="E735" s="130"/>
      <c r="F735" s="102"/>
      <c r="G735" s="122"/>
      <c r="H735" s="10"/>
      <c r="I735" s="10"/>
    </row>
    <row r="736" spans="2:9" ht="15.75">
      <c r="B736" s="111"/>
      <c r="C736" s="111"/>
      <c r="D736" s="102"/>
      <c r="E736" s="130"/>
      <c r="F736" s="102"/>
      <c r="G736" s="122"/>
      <c r="H736" s="10"/>
      <c r="I736" s="10"/>
    </row>
    <row r="737" spans="2:9" ht="15.75">
      <c r="B737" s="111"/>
      <c r="C737" s="111"/>
      <c r="D737" s="102"/>
      <c r="E737" s="130"/>
      <c r="F737" s="102"/>
      <c r="G737" s="122"/>
      <c r="H737" s="10"/>
      <c r="I737" s="10"/>
    </row>
    <row r="738" spans="2:9" ht="15.75">
      <c r="B738" s="111"/>
      <c r="C738" s="111"/>
      <c r="D738" s="102"/>
      <c r="E738" s="130"/>
      <c r="F738" s="102"/>
      <c r="G738" s="122"/>
      <c r="H738" s="10"/>
      <c r="I738" s="10"/>
    </row>
    <row r="739" spans="2:9" ht="15.75">
      <c r="B739" s="111"/>
      <c r="C739" s="111"/>
      <c r="D739" s="102"/>
      <c r="E739" s="130"/>
      <c r="F739" s="102"/>
      <c r="G739" s="122"/>
      <c r="H739" s="10"/>
      <c r="I739" s="10"/>
    </row>
    <row r="740" spans="2:9" ht="15.75">
      <c r="B740" s="111"/>
      <c r="C740" s="111"/>
      <c r="D740" s="102"/>
      <c r="E740" s="130"/>
      <c r="F740" s="102"/>
      <c r="G740" s="122"/>
      <c r="H740" s="10"/>
      <c r="I740" s="10"/>
    </row>
    <row r="741" spans="2:9" ht="15.75">
      <c r="B741" s="111"/>
      <c r="C741" s="111"/>
      <c r="D741" s="102"/>
      <c r="E741" s="130"/>
      <c r="F741" s="102"/>
      <c r="G741" s="122"/>
      <c r="H741" s="10"/>
      <c r="I741" s="10"/>
    </row>
    <row r="742" spans="2:9" ht="15.75">
      <c r="B742" s="111"/>
      <c r="C742" s="111"/>
      <c r="D742" s="102"/>
      <c r="E742" s="130"/>
      <c r="F742" s="102"/>
      <c r="G742" s="122"/>
      <c r="H742" s="10"/>
      <c r="I742" s="10"/>
    </row>
    <row r="743" spans="2:9" ht="15.75">
      <c r="B743" s="111"/>
      <c r="C743" s="111"/>
      <c r="D743" s="102"/>
      <c r="E743" s="130"/>
      <c r="F743" s="102"/>
      <c r="G743" s="122"/>
      <c r="H743" s="10"/>
      <c r="I743" s="10"/>
    </row>
    <row r="744" spans="2:9" ht="15.75">
      <c r="B744" s="111"/>
      <c r="C744" s="111"/>
      <c r="D744" s="102"/>
      <c r="E744" s="130"/>
      <c r="F744" s="102"/>
      <c r="G744" s="122"/>
      <c r="H744" s="10"/>
      <c r="I744" s="10"/>
    </row>
    <row r="745" spans="2:9" ht="15.75">
      <c r="B745" s="111"/>
      <c r="C745" s="111"/>
      <c r="D745" s="102"/>
      <c r="E745" s="130"/>
      <c r="F745" s="102"/>
      <c r="G745" s="122"/>
      <c r="H745" s="10"/>
      <c r="I745" s="10"/>
    </row>
    <row r="746" spans="2:9" ht="15.75">
      <c r="B746" s="111"/>
      <c r="C746" s="111"/>
      <c r="D746" s="102"/>
      <c r="E746" s="130"/>
      <c r="F746" s="102"/>
      <c r="G746" s="122"/>
      <c r="H746" s="10"/>
      <c r="I746" s="10"/>
    </row>
    <row r="747" spans="2:9" ht="15.75">
      <c r="B747" s="111"/>
      <c r="C747" s="111"/>
      <c r="D747" s="102"/>
      <c r="E747" s="130"/>
      <c r="F747" s="102"/>
      <c r="G747" s="122"/>
      <c r="H747" s="10"/>
      <c r="I747" s="10"/>
    </row>
    <row r="748" spans="2:9" ht="15.75">
      <c r="B748" s="111"/>
      <c r="C748" s="111"/>
      <c r="D748" s="102"/>
      <c r="E748" s="130"/>
      <c r="F748" s="102"/>
      <c r="G748" s="122"/>
      <c r="H748" s="10"/>
      <c r="I748" s="10"/>
    </row>
    <row r="749" spans="2:9" ht="15.75">
      <c r="B749" s="111"/>
      <c r="C749" s="111"/>
      <c r="D749" s="102"/>
      <c r="E749" s="130"/>
      <c r="F749" s="102"/>
      <c r="G749" s="122"/>
      <c r="H749" s="10"/>
      <c r="I749" s="10"/>
    </row>
    <row r="750" spans="2:9" ht="15.75">
      <c r="B750" s="111"/>
      <c r="C750" s="111"/>
      <c r="D750" s="102"/>
      <c r="E750" s="130"/>
      <c r="F750" s="102"/>
      <c r="G750" s="122"/>
      <c r="H750" s="10"/>
      <c r="I750" s="10"/>
    </row>
    <row r="751" spans="2:9" ht="15.75">
      <c r="B751" s="111"/>
      <c r="C751" s="111"/>
      <c r="D751" s="102"/>
      <c r="E751" s="130"/>
      <c r="F751" s="102"/>
      <c r="G751" s="122"/>
      <c r="H751" s="10"/>
      <c r="I751" s="10"/>
    </row>
    <row r="752" spans="2:9" ht="15.75">
      <c r="B752" s="111"/>
      <c r="C752" s="111"/>
      <c r="D752" s="102"/>
      <c r="E752" s="130"/>
      <c r="F752" s="102"/>
      <c r="G752" s="122"/>
      <c r="H752" s="10"/>
      <c r="I752" s="10"/>
    </row>
    <row r="753" spans="2:9" ht="15.75">
      <c r="B753" s="111"/>
      <c r="C753" s="111"/>
      <c r="D753" s="102"/>
      <c r="E753" s="130"/>
      <c r="F753" s="102"/>
      <c r="G753" s="122"/>
      <c r="H753" s="10"/>
      <c r="I753" s="10"/>
    </row>
    <row r="754" spans="2:9" ht="15.75">
      <c r="B754" s="111"/>
      <c r="C754" s="111"/>
      <c r="D754" s="102"/>
      <c r="E754" s="130"/>
      <c r="F754" s="102"/>
      <c r="G754" s="122"/>
      <c r="H754" s="10"/>
      <c r="I754" s="10"/>
    </row>
    <row r="755" spans="2:9" ht="15.75">
      <c r="B755" s="111"/>
      <c r="C755" s="111"/>
      <c r="D755" s="102"/>
      <c r="E755" s="130"/>
      <c r="F755" s="102"/>
      <c r="G755" s="122"/>
      <c r="H755" s="10"/>
      <c r="I755" s="10"/>
    </row>
    <row r="756" spans="2:9" ht="15.75">
      <c r="B756" s="111"/>
      <c r="C756" s="111"/>
      <c r="D756" s="102"/>
      <c r="E756" s="130"/>
      <c r="F756" s="102"/>
      <c r="G756" s="122"/>
      <c r="H756" s="10"/>
      <c r="I756" s="10"/>
    </row>
    <row r="757" spans="2:9" ht="15.75">
      <c r="B757" s="111"/>
      <c r="C757" s="111"/>
      <c r="D757" s="102"/>
      <c r="E757" s="130"/>
      <c r="F757" s="102"/>
      <c r="G757" s="122"/>
      <c r="H757" s="10"/>
      <c r="I757" s="10"/>
    </row>
    <row r="758" spans="2:9" ht="15.75">
      <c r="B758" s="111"/>
      <c r="C758" s="111"/>
      <c r="D758" s="102"/>
      <c r="E758" s="130"/>
      <c r="F758" s="102"/>
      <c r="G758" s="122"/>
      <c r="H758" s="10"/>
      <c r="I758" s="10"/>
    </row>
    <row r="759" spans="2:9" ht="15.75">
      <c r="B759" s="111"/>
      <c r="C759" s="111"/>
      <c r="D759" s="102"/>
      <c r="E759" s="130"/>
      <c r="F759" s="102"/>
      <c r="G759" s="122"/>
      <c r="H759" s="10"/>
      <c r="I759" s="10"/>
    </row>
    <row r="760" spans="2:9" ht="15.75">
      <c r="B760" s="111"/>
      <c r="C760" s="111"/>
      <c r="D760" s="102"/>
      <c r="E760" s="130"/>
      <c r="F760" s="102"/>
      <c r="G760" s="122"/>
      <c r="H760" s="10"/>
      <c r="I760" s="10"/>
    </row>
    <row r="761" spans="2:9" ht="15.75">
      <c r="B761" s="111"/>
      <c r="C761" s="111"/>
      <c r="D761" s="102"/>
      <c r="E761" s="130"/>
      <c r="F761" s="102"/>
      <c r="G761" s="122"/>
      <c r="H761" s="10"/>
      <c r="I761" s="10"/>
    </row>
    <row r="762" spans="2:9" ht="15.75">
      <c r="B762" s="111"/>
      <c r="C762" s="111"/>
      <c r="D762" s="102"/>
      <c r="E762" s="130"/>
      <c r="F762" s="102"/>
      <c r="G762" s="122"/>
      <c r="H762" s="10"/>
      <c r="I762" s="10"/>
    </row>
    <row r="763" spans="2:9" ht="15.75">
      <c r="B763" s="111"/>
      <c r="C763" s="111"/>
      <c r="D763" s="102"/>
      <c r="E763" s="130"/>
      <c r="F763" s="102"/>
      <c r="G763" s="122"/>
      <c r="H763" s="10"/>
      <c r="I763" s="10"/>
    </row>
    <row r="764" spans="2:9" ht="15.75">
      <c r="B764" s="111"/>
      <c r="C764" s="111"/>
      <c r="D764" s="102"/>
      <c r="E764" s="130"/>
      <c r="F764" s="102"/>
      <c r="G764" s="122"/>
      <c r="H764" s="10"/>
      <c r="I764" s="10"/>
    </row>
    <row r="765" spans="2:9" ht="15.75">
      <c r="B765" s="111"/>
      <c r="C765" s="111"/>
      <c r="D765" s="102"/>
      <c r="E765" s="130"/>
      <c r="F765" s="102"/>
      <c r="G765" s="122"/>
      <c r="H765" s="10"/>
      <c r="I765" s="10"/>
    </row>
    <row r="766" spans="2:9" ht="15.75">
      <c r="B766" s="111"/>
      <c r="C766" s="111"/>
      <c r="D766" s="102"/>
      <c r="E766" s="130"/>
      <c r="F766" s="102"/>
      <c r="G766" s="122"/>
      <c r="H766" s="10"/>
      <c r="I766" s="10"/>
    </row>
    <row r="767" spans="2:9" ht="15.75">
      <c r="B767" s="111"/>
      <c r="C767" s="111"/>
      <c r="D767" s="102"/>
      <c r="E767" s="130"/>
      <c r="F767" s="102"/>
      <c r="G767" s="122"/>
      <c r="H767" s="10"/>
      <c r="I767" s="10"/>
    </row>
    <row r="768" spans="2:9" ht="15.75">
      <c r="B768" s="111"/>
      <c r="C768" s="111"/>
      <c r="D768" s="102"/>
      <c r="E768" s="130"/>
      <c r="F768" s="102"/>
      <c r="G768" s="122"/>
      <c r="H768" s="10"/>
      <c r="I768" s="10"/>
    </row>
    <row r="769" spans="2:9" ht="15.75">
      <c r="B769" s="111"/>
      <c r="C769" s="111"/>
      <c r="D769" s="102"/>
      <c r="E769" s="130"/>
      <c r="F769" s="102"/>
      <c r="G769" s="122"/>
      <c r="H769" s="10"/>
      <c r="I769" s="10"/>
    </row>
    <row r="770" spans="2:9" ht="15.75">
      <c r="B770" s="111"/>
      <c r="C770" s="111"/>
      <c r="D770" s="102"/>
      <c r="E770" s="130"/>
      <c r="F770" s="102"/>
      <c r="G770" s="122"/>
      <c r="H770" s="10"/>
      <c r="I770" s="10"/>
    </row>
    <row r="771" spans="2:9" ht="15.75">
      <c r="B771" s="111"/>
      <c r="C771" s="111"/>
      <c r="D771" s="102"/>
      <c r="E771" s="130"/>
      <c r="F771" s="102"/>
      <c r="G771" s="122"/>
      <c r="H771" s="10"/>
      <c r="I771" s="10"/>
    </row>
    <row r="772" spans="2:9" ht="15.75">
      <c r="B772" s="111"/>
      <c r="C772" s="111"/>
      <c r="D772" s="102"/>
      <c r="E772" s="130"/>
      <c r="F772" s="102"/>
      <c r="G772" s="122"/>
      <c r="H772" s="10"/>
      <c r="I772" s="10"/>
    </row>
    <row r="773" spans="2:9" ht="15.75">
      <c r="B773" s="111"/>
      <c r="C773" s="111"/>
      <c r="D773" s="102"/>
      <c r="E773" s="130"/>
      <c r="F773" s="102"/>
      <c r="G773" s="122"/>
      <c r="H773" s="10"/>
      <c r="I773" s="10"/>
    </row>
    <row r="774" spans="2:9" ht="15.75">
      <c r="B774" s="111"/>
      <c r="C774" s="111"/>
      <c r="D774" s="102"/>
      <c r="E774" s="130"/>
      <c r="F774" s="102"/>
      <c r="G774" s="122"/>
      <c r="H774" s="10"/>
      <c r="I774" s="10"/>
    </row>
    <row r="775" spans="2:9" ht="15.75">
      <c r="B775" s="111"/>
      <c r="C775" s="111"/>
      <c r="D775" s="102"/>
      <c r="E775" s="130"/>
      <c r="F775" s="102"/>
      <c r="G775" s="122"/>
      <c r="H775" s="10"/>
      <c r="I775" s="10"/>
    </row>
    <row r="776" spans="2:9" ht="15.75">
      <c r="B776" s="111"/>
      <c r="C776" s="111"/>
      <c r="D776" s="102"/>
      <c r="E776" s="130"/>
      <c r="F776" s="102"/>
      <c r="G776" s="122"/>
      <c r="H776" s="10"/>
      <c r="I776" s="10"/>
    </row>
    <row r="777" spans="2:9" ht="15.75">
      <c r="B777" s="111"/>
      <c r="C777" s="111"/>
      <c r="D777" s="102"/>
      <c r="E777" s="130"/>
      <c r="F777" s="102"/>
      <c r="G777" s="122"/>
      <c r="H777" s="10"/>
      <c r="I777" s="10"/>
    </row>
    <row r="778" spans="2:9" ht="15.75">
      <c r="B778" s="111"/>
      <c r="C778" s="111"/>
      <c r="D778" s="102"/>
      <c r="E778" s="130"/>
      <c r="F778" s="102"/>
      <c r="G778" s="122"/>
      <c r="H778" s="10"/>
      <c r="I778" s="10"/>
    </row>
    <row r="779" spans="2:9" ht="15.75">
      <c r="B779" s="111"/>
      <c r="C779" s="111"/>
      <c r="D779" s="102"/>
      <c r="E779" s="130"/>
      <c r="F779" s="102"/>
      <c r="G779" s="122"/>
      <c r="H779" s="10"/>
      <c r="I779" s="10"/>
    </row>
    <row r="780" spans="2:9" ht="15.75">
      <c r="B780" s="111"/>
      <c r="C780" s="111"/>
      <c r="D780" s="102"/>
      <c r="E780" s="130"/>
      <c r="F780" s="102"/>
      <c r="G780" s="122"/>
      <c r="H780" s="10"/>
      <c r="I780" s="10"/>
    </row>
    <row r="781" spans="2:9" ht="15.75">
      <c r="B781" s="111"/>
      <c r="C781" s="111"/>
      <c r="D781" s="102"/>
      <c r="E781" s="130"/>
      <c r="F781" s="102"/>
      <c r="G781" s="122"/>
      <c r="H781" s="10"/>
      <c r="I781" s="10"/>
    </row>
    <row r="782" spans="2:9" ht="15.75">
      <c r="B782" s="111"/>
      <c r="C782" s="111"/>
      <c r="D782" s="102"/>
      <c r="E782" s="130"/>
      <c r="F782" s="102"/>
      <c r="G782" s="122"/>
      <c r="H782" s="10"/>
      <c r="I782" s="10"/>
    </row>
    <row r="783" spans="2:9" ht="15.75">
      <c r="B783" s="111"/>
      <c r="C783" s="111"/>
      <c r="D783" s="102"/>
      <c r="E783" s="130"/>
      <c r="F783" s="102"/>
      <c r="G783" s="122"/>
      <c r="H783" s="10"/>
      <c r="I783" s="10"/>
    </row>
    <row r="784" spans="2:9" ht="15.75">
      <c r="B784" s="111"/>
      <c r="C784" s="111"/>
      <c r="D784" s="102"/>
      <c r="E784" s="130"/>
      <c r="F784" s="102"/>
      <c r="G784" s="122"/>
      <c r="H784" s="10"/>
      <c r="I784" s="10"/>
    </row>
    <row r="785" spans="2:9" ht="15.75">
      <c r="B785" s="111"/>
      <c r="C785" s="111"/>
      <c r="D785" s="102"/>
      <c r="E785" s="130"/>
      <c r="F785" s="102"/>
      <c r="G785" s="122"/>
      <c r="H785" s="10"/>
      <c r="I785" s="10"/>
    </row>
    <row r="786" spans="2:9" ht="15.75">
      <c r="B786" s="111"/>
      <c r="C786" s="111"/>
      <c r="D786" s="102"/>
      <c r="E786" s="130"/>
      <c r="F786" s="102"/>
      <c r="G786" s="122"/>
      <c r="H786" s="10"/>
      <c r="I786" s="10"/>
    </row>
    <row r="787" spans="2:9" ht="15.75">
      <c r="B787" s="111"/>
      <c r="C787" s="111"/>
      <c r="D787" s="102"/>
      <c r="E787" s="130"/>
      <c r="F787" s="102"/>
      <c r="G787" s="122"/>
      <c r="H787" s="10"/>
      <c r="I787" s="10"/>
    </row>
    <row r="788" spans="2:9" ht="15.75">
      <c r="B788" s="111"/>
      <c r="C788" s="111"/>
      <c r="D788" s="102"/>
      <c r="E788" s="130"/>
      <c r="F788" s="102"/>
      <c r="G788" s="122"/>
      <c r="H788" s="10"/>
      <c r="I788" s="10"/>
    </row>
    <row r="789" spans="2:9" ht="15.75">
      <c r="B789" s="111"/>
      <c r="C789" s="111"/>
      <c r="D789" s="102"/>
      <c r="E789" s="130"/>
      <c r="F789" s="102"/>
      <c r="G789" s="122"/>
      <c r="H789" s="10"/>
      <c r="I789" s="10"/>
    </row>
    <row r="790" spans="2:9" ht="15.75">
      <c r="B790" s="111"/>
      <c r="C790" s="111"/>
      <c r="D790" s="102"/>
      <c r="E790" s="130"/>
      <c r="F790" s="102"/>
      <c r="G790" s="122"/>
      <c r="H790" s="10"/>
      <c r="I790" s="10"/>
    </row>
    <row r="791" spans="2:9" ht="15.75">
      <c r="B791" s="111"/>
      <c r="C791" s="111"/>
      <c r="D791" s="102"/>
      <c r="E791" s="130"/>
      <c r="F791" s="102"/>
      <c r="G791" s="122"/>
      <c r="H791" s="10"/>
      <c r="I791" s="10"/>
    </row>
    <row r="792" spans="2:9" ht="15.75">
      <c r="B792" s="111"/>
      <c r="C792" s="111"/>
      <c r="D792" s="102"/>
      <c r="E792" s="130"/>
      <c r="F792" s="102"/>
      <c r="G792" s="122"/>
      <c r="H792" s="10"/>
      <c r="I792" s="10"/>
    </row>
    <row r="793" spans="2:9" ht="15.75">
      <c r="B793" s="111"/>
      <c r="C793" s="111"/>
      <c r="D793" s="102"/>
      <c r="E793" s="130"/>
      <c r="F793" s="102"/>
      <c r="G793" s="122"/>
      <c r="H793" s="10"/>
      <c r="I793" s="10"/>
    </row>
    <row r="794" spans="2:9" ht="15.75">
      <c r="B794" s="111"/>
      <c r="C794" s="111"/>
      <c r="D794" s="102"/>
      <c r="E794" s="130"/>
      <c r="F794" s="102"/>
      <c r="G794" s="122"/>
      <c r="H794" s="10"/>
      <c r="I794" s="10"/>
    </row>
    <row r="795" spans="2:9" ht="15.75">
      <c r="B795" s="111"/>
      <c r="C795" s="111"/>
      <c r="D795" s="102"/>
      <c r="E795" s="130"/>
      <c r="F795" s="102"/>
      <c r="G795" s="122"/>
      <c r="H795" s="10"/>
      <c r="I795" s="10"/>
    </row>
    <row r="796" spans="2:9" ht="15.75">
      <c r="B796" s="111"/>
      <c r="C796" s="111"/>
      <c r="D796" s="102"/>
      <c r="E796" s="130"/>
      <c r="F796" s="102"/>
      <c r="G796" s="122"/>
      <c r="H796" s="10"/>
      <c r="I796" s="10"/>
    </row>
    <row r="797" spans="2:9" ht="15.75">
      <c r="B797" s="111"/>
      <c r="C797" s="111"/>
      <c r="D797" s="102"/>
      <c r="E797" s="130"/>
      <c r="F797" s="102"/>
      <c r="G797" s="122"/>
      <c r="H797" s="10"/>
      <c r="I797" s="10"/>
    </row>
    <row r="798" spans="2:9" ht="15.75">
      <c r="B798" s="111"/>
      <c r="C798" s="111"/>
      <c r="D798" s="102"/>
      <c r="E798" s="130"/>
      <c r="F798" s="102"/>
      <c r="G798" s="122"/>
      <c r="H798" s="10"/>
      <c r="I798" s="10"/>
    </row>
    <row r="799" spans="2:9" ht="15.75">
      <c r="B799" s="111"/>
      <c r="C799" s="111"/>
      <c r="D799" s="102"/>
      <c r="E799" s="130"/>
      <c r="F799" s="102"/>
      <c r="G799" s="122"/>
      <c r="H799" s="10"/>
      <c r="I799" s="10"/>
    </row>
    <row r="800" spans="2:9" ht="15.75">
      <c r="B800" s="111"/>
      <c r="C800" s="111"/>
      <c r="D800" s="102"/>
      <c r="E800" s="130"/>
      <c r="F800" s="102"/>
      <c r="G800" s="122"/>
      <c r="H800" s="10"/>
      <c r="I800" s="10"/>
    </row>
    <row r="801" spans="2:9" ht="15.75">
      <c r="B801" s="111"/>
      <c r="C801" s="111"/>
      <c r="D801" s="102"/>
      <c r="E801" s="130"/>
      <c r="F801" s="102"/>
      <c r="G801" s="122"/>
      <c r="H801" s="10"/>
      <c r="I801" s="10"/>
    </row>
    <row r="802" spans="2:9" ht="15.75">
      <c r="B802" s="111"/>
      <c r="C802" s="111"/>
      <c r="D802" s="102"/>
      <c r="E802" s="130"/>
      <c r="F802" s="102"/>
      <c r="G802" s="122"/>
      <c r="H802" s="10"/>
      <c r="I802" s="10"/>
    </row>
    <row r="803" spans="2:9" ht="15.75">
      <c r="B803" s="111"/>
      <c r="C803" s="111"/>
      <c r="D803" s="102"/>
      <c r="E803" s="130"/>
      <c r="F803" s="102"/>
      <c r="G803" s="122"/>
      <c r="H803" s="10"/>
      <c r="I803" s="10"/>
    </row>
    <row r="804" spans="2:9" ht="15.75">
      <c r="B804" s="111"/>
      <c r="C804" s="111"/>
      <c r="D804" s="102"/>
      <c r="E804" s="130"/>
      <c r="F804" s="102"/>
      <c r="G804" s="122"/>
      <c r="H804" s="10"/>
      <c r="I804" s="10"/>
    </row>
    <row r="805" spans="2:9" ht="15.75">
      <c r="B805" s="111"/>
      <c r="C805" s="111"/>
      <c r="D805" s="102"/>
      <c r="E805" s="130"/>
      <c r="F805" s="102"/>
      <c r="G805" s="122"/>
      <c r="H805" s="10"/>
      <c r="I805" s="10"/>
    </row>
    <row r="806" spans="2:9" ht="15.75">
      <c r="B806" s="111"/>
      <c r="C806" s="111"/>
      <c r="D806" s="102"/>
      <c r="E806" s="130"/>
      <c r="F806" s="102"/>
      <c r="G806" s="122"/>
      <c r="H806" s="10"/>
      <c r="I806" s="10"/>
    </row>
    <row r="807" spans="2:9" ht="15.75">
      <c r="B807" s="111"/>
      <c r="C807" s="111"/>
      <c r="D807" s="102"/>
      <c r="E807" s="130"/>
      <c r="F807" s="102"/>
      <c r="G807" s="122"/>
      <c r="H807" s="10"/>
      <c r="I807" s="10"/>
    </row>
    <row r="808" spans="2:9" ht="15.75">
      <c r="B808" s="111"/>
      <c r="C808" s="111"/>
      <c r="D808" s="102"/>
      <c r="E808" s="130"/>
      <c r="F808" s="102"/>
      <c r="G808" s="122"/>
      <c r="H808" s="10"/>
      <c r="I808" s="10"/>
    </row>
    <row r="809" spans="2:9" ht="15.75">
      <c r="B809" s="111"/>
      <c r="C809" s="111"/>
      <c r="D809" s="102"/>
      <c r="E809" s="130"/>
      <c r="F809" s="102"/>
      <c r="G809" s="122"/>
      <c r="H809" s="10"/>
      <c r="I809" s="10"/>
    </row>
    <row r="810" spans="2:9" ht="15.75">
      <c r="B810" s="111"/>
      <c r="C810" s="111"/>
      <c r="D810" s="102"/>
      <c r="E810" s="130"/>
      <c r="F810" s="102"/>
      <c r="G810" s="122"/>
      <c r="H810" s="10"/>
      <c r="I810" s="10"/>
    </row>
    <row r="811" spans="2:9" ht="15.75">
      <c r="B811" s="111"/>
      <c r="C811" s="111"/>
      <c r="D811" s="102"/>
      <c r="E811" s="130"/>
      <c r="F811" s="102"/>
      <c r="G811" s="122"/>
      <c r="H811" s="10"/>
      <c r="I811" s="10"/>
    </row>
    <row r="812" spans="2:9" ht="15.75">
      <c r="B812" s="111"/>
      <c r="C812" s="111"/>
      <c r="D812" s="102"/>
      <c r="E812" s="130"/>
      <c r="F812" s="102"/>
      <c r="G812" s="122"/>
      <c r="H812" s="10"/>
      <c r="I812" s="10"/>
    </row>
    <row r="813" spans="2:9" ht="15.75">
      <c r="B813" s="111"/>
      <c r="C813" s="111"/>
      <c r="D813" s="102"/>
      <c r="E813" s="130"/>
      <c r="F813" s="102"/>
      <c r="G813" s="122"/>
      <c r="H813" s="10"/>
      <c r="I813" s="10"/>
    </row>
    <row r="814" spans="2:9" ht="15.75">
      <c r="B814" s="111"/>
      <c r="C814" s="111"/>
      <c r="D814" s="102"/>
      <c r="E814" s="130"/>
      <c r="F814" s="102"/>
      <c r="G814" s="122"/>
      <c r="H814" s="10"/>
      <c r="I814" s="10"/>
    </row>
    <row r="815" spans="2:9" ht="15.75">
      <c r="B815" s="111"/>
      <c r="C815" s="111"/>
      <c r="D815" s="102"/>
      <c r="E815" s="130"/>
      <c r="F815" s="102"/>
      <c r="G815" s="122"/>
      <c r="H815" s="10"/>
      <c r="I815" s="10"/>
    </row>
    <row r="816" spans="2:9" ht="15.75">
      <c r="B816" s="111"/>
      <c r="C816" s="111"/>
      <c r="D816" s="102"/>
      <c r="E816" s="130"/>
      <c r="F816" s="102"/>
      <c r="G816" s="122"/>
      <c r="H816" s="10"/>
      <c r="I816" s="10"/>
    </row>
    <row r="817" spans="2:9" ht="15.75">
      <c r="B817" s="111"/>
      <c r="C817" s="111"/>
      <c r="D817" s="102"/>
      <c r="E817" s="130"/>
      <c r="F817" s="102"/>
      <c r="G817" s="122"/>
      <c r="H817" s="10"/>
      <c r="I817" s="10"/>
    </row>
    <row r="818" spans="2:9" ht="15.75">
      <c r="B818" s="111"/>
      <c r="C818" s="111"/>
      <c r="D818" s="102"/>
      <c r="E818" s="130"/>
      <c r="F818" s="102"/>
      <c r="G818" s="122"/>
      <c r="H818" s="10"/>
      <c r="I818" s="10"/>
    </row>
    <row r="819" spans="2:9" ht="15.75">
      <c r="B819" s="111"/>
      <c r="C819" s="111"/>
      <c r="D819" s="102"/>
      <c r="E819" s="130"/>
      <c r="F819" s="102"/>
      <c r="G819" s="122"/>
      <c r="H819" s="10"/>
      <c r="I819" s="10"/>
    </row>
    <row r="820" spans="2:9" ht="15.75">
      <c r="B820" s="111"/>
      <c r="C820" s="111"/>
      <c r="D820" s="102"/>
      <c r="E820" s="130"/>
      <c r="F820" s="102"/>
      <c r="G820" s="122"/>
      <c r="H820" s="10"/>
      <c r="I820" s="10"/>
    </row>
    <row r="821" spans="2:9" ht="15.75">
      <c r="B821" s="111"/>
      <c r="C821" s="111"/>
      <c r="D821" s="102"/>
      <c r="E821" s="130"/>
      <c r="F821" s="102"/>
      <c r="G821" s="122"/>
      <c r="H821" s="10"/>
      <c r="I821" s="10"/>
    </row>
    <row r="822" spans="2:9" ht="15.75">
      <c r="B822" s="111"/>
      <c r="C822" s="111"/>
      <c r="D822" s="102"/>
      <c r="E822" s="130"/>
      <c r="F822" s="102"/>
      <c r="G822" s="122"/>
      <c r="H822" s="10"/>
      <c r="I822" s="10"/>
    </row>
    <row r="823" spans="2:9" ht="15.75">
      <c r="B823" s="111"/>
      <c r="C823" s="111"/>
      <c r="D823" s="102"/>
      <c r="E823" s="130"/>
      <c r="F823" s="102"/>
      <c r="G823" s="122"/>
      <c r="H823" s="10"/>
      <c r="I823" s="10"/>
    </row>
    <row r="824" spans="2:9" ht="15.75">
      <c r="B824" s="111"/>
      <c r="C824" s="111"/>
      <c r="D824" s="102"/>
      <c r="E824" s="130"/>
      <c r="F824" s="102"/>
      <c r="G824" s="122"/>
      <c r="H824" s="10"/>
      <c r="I824" s="10"/>
    </row>
    <row r="825" spans="2:9" ht="15.75">
      <c r="B825" s="111"/>
      <c r="C825" s="111"/>
      <c r="D825" s="102"/>
      <c r="E825" s="130"/>
      <c r="F825" s="102"/>
      <c r="G825" s="122"/>
      <c r="H825" s="10"/>
      <c r="I825" s="10"/>
    </row>
    <row r="826" spans="2:9" ht="15.75">
      <c r="B826" s="111"/>
      <c r="C826" s="111"/>
      <c r="D826" s="102"/>
      <c r="E826" s="130"/>
      <c r="F826" s="102"/>
      <c r="G826" s="122"/>
      <c r="H826" s="10"/>
      <c r="I826" s="10"/>
    </row>
    <row r="827" spans="2:9" ht="15.75">
      <c r="B827" s="111"/>
      <c r="C827" s="111"/>
      <c r="D827" s="102"/>
      <c r="E827" s="130"/>
      <c r="F827" s="102"/>
      <c r="G827" s="122"/>
      <c r="H827" s="10"/>
      <c r="I827" s="10"/>
    </row>
    <row r="828" spans="2:9" ht="15.75">
      <c r="B828" s="111"/>
      <c r="C828" s="111"/>
      <c r="D828" s="102"/>
      <c r="E828" s="130"/>
      <c r="F828" s="102"/>
      <c r="G828" s="122"/>
      <c r="H828" s="10"/>
      <c r="I828" s="10"/>
    </row>
    <row r="829" spans="2:9" ht="15.75">
      <c r="B829" s="111"/>
      <c r="C829" s="111"/>
      <c r="D829" s="102"/>
      <c r="E829" s="130"/>
      <c r="F829" s="102"/>
      <c r="G829" s="122"/>
      <c r="H829" s="10"/>
      <c r="I829" s="10"/>
    </row>
    <row r="830" spans="2:9" ht="15.75">
      <c r="B830" s="111"/>
      <c r="C830" s="111"/>
      <c r="D830" s="102"/>
      <c r="E830" s="130"/>
      <c r="F830" s="102"/>
      <c r="G830" s="122"/>
      <c r="H830" s="10"/>
      <c r="I830" s="10"/>
    </row>
    <row r="831" spans="2:9" ht="15.75">
      <c r="B831" s="111"/>
      <c r="C831" s="111"/>
      <c r="D831" s="102"/>
      <c r="E831" s="130"/>
      <c r="F831" s="102"/>
      <c r="G831" s="122"/>
      <c r="H831" s="10"/>
      <c r="I831" s="10"/>
    </row>
    <row r="832" spans="2:9" ht="15.75">
      <c r="B832" s="111"/>
      <c r="C832" s="111"/>
      <c r="D832" s="102"/>
      <c r="E832" s="130"/>
      <c r="F832" s="102"/>
      <c r="G832" s="122"/>
      <c r="H832" s="10"/>
      <c r="I832" s="10"/>
    </row>
    <row r="833" spans="2:9" ht="15.75">
      <c r="B833" s="111"/>
      <c r="C833" s="111"/>
      <c r="D833" s="102"/>
      <c r="E833" s="130"/>
      <c r="F833" s="102"/>
      <c r="G833" s="122"/>
      <c r="H833" s="10"/>
      <c r="I833" s="10"/>
    </row>
    <row r="834" spans="2:9" ht="15.75">
      <c r="B834" s="111"/>
      <c r="C834" s="111"/>
      <c r="D834" s="102"/>
      <c r="E834" s="130"/>
      <c r="F834" s="102"/>
      <c r="G834" s="122"/>
      <c r="H834" s="10"/>
      <c r="I834" s="10"/>
    </row>
    <row r="835" spans="2:9" ht="15.75">
      <c r="B835" s="111"/>
      <c r="C835" s="111"/>
      <c r="D835" s="102"/>
      <c r="E835" s="130"/>
      <c r="F835" s="102"/>
      <c r="G835" s="122"/>
      <c r="H835" s="10"/>
      <c r="I835" s="10"/>
    </row>
    <row r="836" spans="2:9" ht="15.75">
      <c r="B836" s="111"/>
      <c r="C836" s="111"/>
      <c r="D836" s="102"/>
      <c r="E836" s="130"/>
      <c r="F836" s="102"/>
      <c r="G836" s="122"/>
      <c r="H836" s="10"/>
      <c r="I836" s="10"/>
    </row>
    <row r="837" spans="2:9" ht="15.75">
      <c r="B837" s="111"/>
      <c r="C837" s="111"/>
      <c r="D837" s="102"/>
      <c r="E837" s="130"/>
      <c r="F837" s="102"/>
      <c r="G837" s="122"/>
      <c r="H837" s="10"/>
      <c r="I837" s="10"/>
    </row>
    <row r="838" spans="2:9" ht="15.75">
      <c r="B838" s="111"/>
      <c r="C838" s="111"/>
      <c r="D838" s="102"/>
      <c r="E838" s="130"/>
      <c r="F838" s="102"/>
      <c r="G838" s="122"/>
      <c r="H838" s="10"/>
      <c r="I838" s="10"/>
    </row>
    <row r="839" spans="2:9" ht="15.75">
      <c r="B839" s="111"/>
      <c r="C839" s="111"/>
      <c r="D839" s="102"/>
      <c r="E839" s="130"/>
      <c r="F839" s="102"/>
      <c r="G839" s="122"/>
      <c r="H839" s="10"/>
      <c r="I839" s="10"/>
    </row>
    <row r="840" spans="2:9" ht="15.75">
      <c r="B840" s="111"/>
      <c r="C840" s="111"/>
      <c r="D840" s="102"/>
      <c r="E840" s="130"/>
      <c r="F840" s="102"/>
      <c r="G840" s="122"/>
      <c r="H840" s="10"/>
      <c r="I840" s="10"/>
    </row>
    <row r="841" spans="2:9" ht="15.75">
      <c r="B841" s="111"/>
      <c r="C841" s="111"/>
      <c r="D841" s="102"/>
      <c r="E841" s="130"/>
      <c r="F841" s="102"/>
      <c r="G841" s="122"/>
      <c r="H841" s="10"/>
      <c r="I841" s="10"/>
    </row>
    <row r="842" spans="2:9" ht="15.75">
      <c r="B842" s="111"/>
      <c r="C842" s="111"/>
      <c r="D842" s="102"/>
      <c r="E842" s="130"/>
      <c r="F842" s="102"/>
      <c r="G842" s="122"/>
      <c r="H842" s="10"/>
      <c r="I842" s="10"/>
    </row>
    <row r="843" spans="2:9" ht="15.75">
      <c r="B843" s="111"/>
      <c r="C843" s="111"/>
      <c r="D843" s="102"/>
      <c r="E843" s="130"/>
      <c r="F843" s="102"/>
      <c r="G843" s="122"/>
      <c r="H843" s="10"/>
      <c r="I843" s="10"/>
    </row>
    <row r="844" spans="2:9" ht="15.75">
      <c r="B844" s="111"/>
      <c r="C844" s="111"/>
      <c r="D844" s="102"/>
      <c r="E844" s="130"/>
      <c r="F844" s="102"/>
      <c r="G844" s="122"/>
      <c r="H844" s="10"/>
      <c r="I844" s="10"/>
    </row>
    <row r="845" spans="2:9" ht="15.75">
      <c r="B845" s="111"/>
      <c r="C845" s="111"/>
      <c r="D845" s="102"/>
      <c r="E845" s="130"/>
      <c r="F845" s="102"/>
      <c r="G845" s="122"/>
      <c r="H845" s="10"/>
      <c r="I845" s="10"/>
    </row>
    <row r="846" spans="2:9" ht="15.75">
      <c r="B846" s="111"/>
      <c r="C846" s="111"/>
      <c r="D846" s="102"/>
      <c r="E846" s="130"/>
      <c r="F846" s="102"/>
      <c r="G846" s="122"/>
      <c r="H846" s="10"/>
      <c r="I846" s="10"/>
    </row>
    <row r="847" spans="2:9" ht="15.75">
      <c r="B847" s="111"/>
      <c r="C847" s="111"/>
      <c r="D847" s="102"/>
      <c r="E847" s="130"/>
      <c r="F847" s="102"/>
      <c r="G847" s="122"/>
      <c r="H847" s="10"/>
      <c r="I847" s="10"/>
    </row>
    <row r="848" spans="2:9" ht="15.75">
      <c r="B848" s="111"/>
      <c r="C848" s="111"/>
      <c r="D848" s="102"/>
      <c r="E848" s="130"/>
      <c r="F848" s="102"/>
      <c r="G848" s="122"/>
      <c r="H848" s="10"/>
      <c r="I848" s="10"/>
    </row>
    <row r="849" spans="2:9" ht="15.75">
      <c r="B849" s="111"/>
      <c r="C849" s="111"/>
      <c r="D849" s="102"/>
      <c r="E849" s="130"/>
      <c r="F849" s="102"/>
      <c r="G849" s="122"/>
      <c r="H849" s="10"/>
      <c r="I849" s="10"/>
    </row>
    <row r="850" spans="2:9" ht="15.75">
      <c r="B850" s="111"/>
      <c r="C850" s="111"/>
      <c r="D850" s="102"/>
      <c r="E850" s="130"/>
      <c r="F850" s="102"/>
      <c r="G850" s="122"/>
      <c r="H850" s="10"/>
      <c r="I850" s="10"/>
    </row>
    <row r="851" spans="2:9" ht="15.75">
      <c r="B851" s="111"/>
      <c r="C851" s="111"/>
      <c r="D851" s="102"/>
      <c r="E851" s="130"/>
      <c r="F851" s="102"/>
      <c r="G851" s="122"/>
      <c r="H851" s="10"/>
      <c r="I851" s="10"/>
    </row>
    <row r="852" spans="2:9" ht="15.75">
      <c r="B852" s="111"/>
      <c r="C852" s="111"/>
      <c r="D852" s="102"/>
      <c r="E852" s="130"/>
      <c r="F852" s="102"/>
      <c r="G852" s="122"/>
      <c r="H852" s="10"/>
      <c r="I852" s="10"/>
    </row>
    <row r="853" spans="2:9" ht="15.75">
      <c r="B853" s="111"/>
      <c r="C853" s="111"/>
      <c r="D853" s="102"/>
      <c r="E853" s="130"/>
      <c r="F853" s="102"/>
      <c r="G853" s="122"/>
      <c r="H853" s="10"/>
      <c r="I853" s="10"/>
    </row>
    <row r="854" spans="2:9" ht="15.75">
      <c r="B854" s="111"/>
      <c r="C854" s="111"/>
      <c r="D854" s="102"/>
      <c r="E854" s="130"/>
      <c r="F854" s="102"/>
      <c r="G854" s="122"/>
      <c r="H854" s="10"/>
      <c r="I854" s="10"/>
    </row>
    <row r="855" spans="2:9" ht="15.75">
      <c r="B855" s="111"/>
      <c r="C855" s="111"/>
      <c r="D855" s="102"/>
      <c r="E855" s="130"/>
      <c r="F855" s="102"/>
      <c r="G855" s="122"/>
      <c r="H855" s="10"/>
      <c r="I855" s="10"/>
    </row>
    <row r="856" spans="2:9" ht="15.75">
      <c r="B856" s="111"/>
      <c r="C856" s="111"/>
      <c r="D856" s="102"/>
      <c r="E856" s="130"/>
      <c r="F856" s="102"/>
      <c r="G856" s="122"/>
      <c r="H856" s="10"/>
      <c r="I856" s="10"/>
    </row>
    <row r="857" spans="2:9" ht="15.75">
      <c r="B857" s="111"/>
      <c r="C857" s="111"/>
      <c r="D857" s="102"/>
      <c r="E857" s="130"/>
      <c r="F857" s="102"/>
      <c r="G857" s="122"/>
      <c r="H857" s="10"/>
      <c r="I857" s="10"/>
    </row>
    <row r="858" spans="2:9" ht="15.75">
      <c r="B858" s="111"/>
      <c r="C858" s="111"/>
      <c r="D858" s="102"/>
      <c r="E858" s="130"/>
      <c r="F858" s="102"/>
      <c r="G858" s="122"/>
      <c r="H858" s="10"/>
      <c r="I858" s="10"/>
    </row>
    <row r="859" spans="2:9" ht="15.75">
      <c r="B859" s="111"/>
      <c r="C859" s="111"/>
      <c r="D859" s="102"/>
      <c r="E859" s="130"/>
      <c r="F859" s="102"/>
      <c r="G859" s="122"/>
      <c r="H859" s="10"/>
      <c r="I859" s="10"/>
    </row>
    <row r="860" spans="2:9" ht="15.75">
      <c r="B860" s="111"/>
      <c r="C860" s="111"/>
      <c r="D860" s="102"/>
      <c r="E860" s="130"/>
      <c r="F860" s="102"/>
      <c r="G860" s="122"/>
      <c r="H860" s="10"/>
      <c r="I860" s="10"/>
    </row>
    <row r="861" spans="2:9" ht="15.75">
      <c r="B861" s="111"/>
      <c r="C861" s="111"/>
      <c r="D861" s="102"/>
      <c r="E861" s="130"/>
      <c r="F861" s="102"/>
      <c r="G861" s="122"/>
      <c r="H861" s="10"/>
      <c r="I861" s="10"/>
    </row>
    <row r="862" spans="2:9" ht="15.75">
      <c r="B862" s="111"/>
      <c r="C862" s="111"/>
      <c r="D862" s="102"/>
      <c r="E862" s="130"/>
      <c r="F862" s="102"/>
      <c r="G862" s="122"/>
      <c r="H862" s="10"/>
      <c r="I862" s="10"/>
    </row>
    <row r="863" spans="2:9" ht="15.75">
      <c r="B863" s="111"/>
      <c r="C863" s="111"/>
      <c r="D863" s="102"/>
      <c r="E863" s="130"/>
      <c r="F863" s="102"/>
      <c r="G863" s="122"/>
      <c r="H863" s="10"/>
      <c r="I863" s="10"/>
    </row>
    <row r="864" spans="2:9" ht="15.75">
      <c r="B864" s="111"/>
      <c r="C864" s="111"/>
      <c r="D864" s="102"/>
      <c r="E864" s="130"/>
      <c r="F864" s="102"/>
      <c r="G864" s="122"/>
      <c r="H864" s="10"/>
      <c r="I864" s="10"/>
    </row>
    <row r="865" spans="2:9" ht="15.75">
      <c r="B865" s="111"/>
      <c r="C865" s="111"/>
      <c r="D865" s="102"/>
      <c r="E865" s="130"/>
      <c r="F865" s="102"/>
      <c r="G865" s="122"/>
      <c r="H865" s="10"/>
      <c r="I865" s="10"/>
    </row>
    <row r="866" spans="2:9" ht="15.75">
      <c r="B866" s="111"/>
      <c r="C866" s="111"/>
      <c r="D866" s="102"/>
      <c r="E866" s="130"/>
      <c r="F866" s="102"/>
      <c r="G866" s="122"/>
      <c r="H866" s="10"/>
      <c r="I866" s="10"/>
    </row>
    <row r="867" spans="2:9" ht="15.75">
      <c r="B867" s="111"/>
      <c r="C867" s="111"/>
      <c r="D867" s="102"/>
      <c r="E867" s="130"/>
      <c r="F867" s="102"/>
      <c r="G867" s="122"/>
      <c r="H867" s="10"/>
      <c r="I867" s="10"/>
    </row>
    <row r="868" spans="2:9" ht="15.75">
      <c r="B868" s="111"/>
      <c r="C868" s="111"/>
      <c r="D868" s="102"/>
      <c r="E868" s="130"/>
      <c r="F868" s="102"/>
      <c r="G868" s="122"/>
      <c r="H868" s="10"/>
      <c r="I868" s="10"/>
    </row>
    <row r="869" spans="2:9" ht="15.75">
      <c r="B869" s="111"/>
      <c r="C869" s="111"/>
      <c r="D869" s="102"/>
      <c r="E869" s="130"/>
      <c r="F869" s="102"/>
      <c r="G869" s="122"/>
      <c r="H869" s="10"/>
      <c r="I869" s="10"/>
    </row>
    <row r="870" spans="2:9" ht="15.75">
      <c r="B870" s="111"/>
      <c r="C870" s="111"/>
      <c r="D870" s="102"/>
      <c r="E870" s="130"/>
      <c r="F870" s="102"/>
      <c r="G870" s="122"/>
      <c r="H870" s="10"/>
      <c r="I870" s="10"/>
    </row>
    <row r="871" spans="2:9" ht="15.75">
      <c r="B871" s="111"/>
      <c r="C871" s="111"/>
      <c r="D871" s="102"/>
      <c r="E871" s="130"/>
      <c r="F871" s="102"/>
      <c r="G871" s="122"/>
      <c r="H871" s="10"/>
      <c r="I871" s="10"/>
    </row>
    <row r="872" spans="2:9" ht="15.75">
      <c r="B872" s="111"/>
      <c r="C872" s="111"/>
      <c r="D872" s="102"/>
      <c r="E872" s="130"/>
      <c r="F872" s="102"/>
      <c r="G872" s="122"/>
      <c r="H872" s="10"/>
      <c r="I872" s="10"/>
    </row>
    <row r="873" spans="2:9" ht="15.75">
      <c r="B873" s="111"/>
      <c r="C873" s="111"/>
      <c r="D873" s="102"/>
      <c r="E873" s="130"/>
      <c r="F873" s="102"/>
      <c r="G873" s="122"/>
      <c r="H873" s="10"/>
      <c r="I873" s="10"/>
    </row>
    <row r="874" spans="2:9" ht="15.75">
      <c r="B874" s="111"/>
      <c r="C874" s="111"/>
      <c r="D874" s="102"/>
      <c r="E874" s="130"/>
      <c r="F874" s="102"/>
      <c r="G874" s="122"/>
      <c r="H874" s="10"/>
      <c r="I874" s="10"/>
    </row>
    <row r="875" spans="2:9" ht="15.75">
      <c r="B875" s="111"/>
      <c r="C875" s="111"/>
      <c r="D875" s="102"/>
      <c r="E875" s="130"/>
      <c r="F875" s="102"/>
      <c r="G875" s="122"/>
      <c r="H875" s="10"/>
      <c r="I875" s="10"/>
    </row>
    <row r="876" spans="2:9" ht="15.75">
      <c r="B876" s="111"/>
      <c r="C876" s="111"/>
      <c r="D876" s="102"/>
      <c r="E876" s="130"/>
      <c r="F876" s="102"/>
      <c r="G876" s="122"/>
      <c r="H876" s="10"/>
      <c r="I876" s="10"/>
    </row>
    <row r="877" spans="2:9" ht="15.75">
      <c r="B877" s="111"/>
      <c r="C877" s="111"/>
      <c r="D877" s="102"/>
      <c r="E877" s="130"/>
      <c r="F877" s="102"/>
      <c r="G877" s="122"/>
      <c r="H877" s="10"/>
      <c r="I877" s="10"/>
    </row>
    <row r="878" spans="2:9" ht="15.75">
      <c r="B878" s="111"/>
      <c r="C878" s="111"/>
      <c r="D878" s="102"/>
      <c r="E878" s="130"/>
      <c r="F878" s="102"/>
      <c r="G878" s="122"/>
      <c r="H878" s="10"/>
      <c r="I878" s="10"/>
    </row>
    <row r="879" spans="2:9" ht="15.75">
      <c r="B879" s="111"/>
      <c r="C879" s="111"/>
      <c r="D879" s="102"/>
      <c r="E879" s="130"/>
      <c r="F879" s="102"/>
      <c r="G879" s="122"/>
      <c r="H879" s="10"/>
      <c r="I879" s="10"/>
    </row>
    <row r="880" spans="2:9" ht="15.75">
      <c r="B880" s="111"/>
      <c r="C880" s="111"/>
      <c r="D880" s="102"/>
      <c r="E880" s="130"/>
      <c r="F880" s="102"/>
      <c r="G880" s="122"/>
      <c r="H880" s="10"/>
      <c r="I880" s="10"/>
    </row>
    <row r="881" spans="2:9" ht="15.75">
      <c r="B881" s="111"/>
      <c r="C881" s="111"/>
      <c r="D881" s="102"/>
      <c r="E881" s="130"/>
      <c r="F881" s="102"/>
      <c r="G881" s="122"/>
      <c r="H881" s="10"/>
      <c r="I881" s="10"/>
    </row>
    <row r="882" spans="2:9" ht="15.75">
      <c r="B882" s="111"/>
      <c r="C882" s="111"/>
      <c r="D882" s="102"/>
      <c r="E882" s="130"/>
      <c r="F882" s="102"/>
      <c r="G882" s="122"/>
      <c r="H882" s="10"/>
      <c r="I882" s="10"/>
    </row>
    <row r="883" spans="2:9" ht="15.75">
      <c r="B883" s="111"/>
      <c r="C883" s="111"/>
      <c r="D883" s="102"/>
      <c r="E883" s="130"/>
      <c r="F883" s="102"/>
      <c r="G883" s="122"/>
      <c r="H883" s="10"/>
      <c r="I883" s="10"/>
    </row>
    <row r="884" spans="2:9" ht="15.75">
      <c r="B884" s="111"/>
      <c r="C884" s="111"/>
      <c r="D884" s="102"/>
      <c r="E884" s="130"/>
      <c r="F884" s="102"/>
      <c r="G884" s="122"/>
      <c r="H884" s="10"/>
      <c r="I884" s="10"/>
    </row>
    <row r="885" spans="2:9" ht="15.75">
      <c r="B885" s="111"/>
      <c r="C885" s="111"/>
      <c r="D885" s="102"/>
      <c r="E885" s="130"/>
      <c r="F885" s="102"/>
      <c r="G885" s="122"/>
      <c r="H885" s="10"/>
      <c r="I885" s="10"/>
    </row>
    <row r="886" spans="2:9" ht="15.75">
      <c r="B886" s="111"/>
      <c r="C886" s="111"/>
      <c r="D886" s="102"/>
      <c r="E886" s="130"/>
      <c r="F886" s="102"/>
      <c r="G886" s="122"/>
      <c r="H886" s="10"/>
      <c r="I886" s="10"/>
    </row>
    <row r="887" spans="2:9" ht="15.75">
      <c r="B887" s="111"/>
      <c r="C887" s="111"/>
      <c r="D887" s="102"/>
      <c r="E887" s="130"/>
      <c r="F887" s="102"/>
      <c r="G887" s="122"/>
      <c r="H887" s="10"/>
      <c r="I887" s="10"/>
    </row>
    <row r="888" spans="2:9" ht="15.75">
      <c r="B888" s="111"/>
      <c r="C888" s="111"/>
      <c r="D888" s="102"/>
      <c r="E888" s="130"/>
      <c r="F888" s="102"/>
      <c r="G888" s="122"/>
      <c r="H888" s="10"/>
      <c r="I888" s="10"/>
    </row>
    <row r="889" spans="2:9" ht="15.75">
      <c r="B889" s="111"/>
      <c r="C889" s="111"/>
      <c r="D889" s="102"/>
      <c r="E889" s="130"/>
      <c r="F889" s="102"/>
      <c r="G889" s="122"/>
      <c r="H889" s="10"/>
      <c r="I889" s="10"/>
    </row>
    <row r="890" spans="2:9" ht="15.75">
      <c r="B890" s="111"/>
      <c r="C890" s="111"/>
      <c r="D890" s="102"/>
      <c r="E890" s="130"/>
      <c r="F890" s="102"/>
      <c r="G890" s="122"/>
      <c r="H890" s="10"/>
      <c r="I890" s="10"/>
    </row>
    <row r="891" spans="2:9" ht="15.75">
      <c r="B891" s="111"/>
      <c r="C891" s="111"/>
      <c r="D891" s="102"/>
      <c r="E891" s="130"/>
      <c r="F891" s="102"/>
      <c r="G891" s="122"/>
      <c r="H891" s="10"/>
      <c r="I891" s="10"/>
    </row>
    <row r="892" spans="2:9" ht="15.75">
      <c r="B892" s="111"/>
      <c r="C892" s="111"/>
      <c r="D892" s="102"/>
      <c r="E892" s="130"/>
      <c r="F892" s="102"/>
      <c r="G892" s="122"/>
      <c r="H892" s="10"/>
      <c r="I892" s="10"/>
    </row>
    <row r="893" spans="2:9" ht="15.75">
      <c r="B893" s="111"/>
      <c r="C893" s="111"/>
      <c r="D893" s="102"/>
      <c r="E893" s="130"/>
      <c r="F893" s="102"/>
      <c r="G893" s="122"/>
      <c r="H893" s="10"/>
      <c r="I893" s="10"/>
    </row>
    <row r="894" spans="2:9" ht="15.75">
      <c r="B894" s="111"/>
      <c r="C894" s="111"/>
      <c r="D894" s="102"/>
      <c r="E894" s="130"/>
      <c r="F894" s="102"/>
      <c r="G894" s="122"/>
      <c r="H894" s="10"/>
      <c r="I894" s="10"/>
    </row>
    <row r="895" spans="2:9" ht="15.75">
      <c r="B895" s="111"/>
      <c r="C895" s="111"/>
      <c r="D895" s="102"/>
      <c r="E895" s="130"/>
      <c r="F895" s="102"/>
      <c r="G895" s="122"/>
      <c r="H895" s="10"/>
      <c r="I895" s="10"/>
    </row>
    <row r="896" spans="2:9" ht="15.75">
      <c r="B896" s="111"/>
      <c r="C896" s="111"/>
      <c r="D896" s="102"/>
      <c r="E896" s="130"/>
      <c r="F896" s="102"/>
      <c r="G896" s="122"/>
      <c r="H896" s="10"/>
      <c r="I896" s="10"/>
    </row>
    <row r="897" spans="2:9" ht="15.75">
      <c r="B897" s="111"/>
      <c r="C897" s="111"/>
      <c r="D897" s="102"/>
      <c r="E897" s="130"/>
      <c r="F897" s="102"/>
      <c r="G897" s="122"/>
      <c r="H897" s="10"/>
      <c r="I897" s="10"/>
    </row>
    <row r="898" spans="2:9" ht="15.75">
      <c r="B898" s="111"/>
      <c r="C898" s="111"/>
      <c r="D898" s="102"/>
      <c r="E898" s="130"/>
      <c r="F898" s="102"/>
      <c r="G898" s="122"/>
      <c r="H898" s="10"/>
      <c r="I898" s="10"/>
    </row>
    <row r="899" spans="2:9" ht="15.75">
      <c r="B899" s="111"/>
      <c r="C899" s="111"/>
      <c r="D899" s="102"/>
      <c r="E899" s="130"/>
      <c r="F899" s="102"/>
      <c r="G899" s="122"/>
      <c r="H899" s="10"/>
      <c r="I899" s="10"/>
    </row>
    <row r="900" spans="2:9" ht="15.75">
      <c r="B900" s="111"/>
      <c r="C900" s="111"/>
      <c r="D900" s="102"/>
      <c r="E900" s="130"/>
      <c r="F900" s="102"/>
      <c r="G900" s="122"/>
      <c r="H900" s="10"/>
      <c r="I900" s="10"/>
    </row>
    <row r="901" spans="2:9" ht="15.75">
      <c r="B901" s="111"/>
      <c r="C901" s="111"/>
      <c r="D901" s="102"/>
      <c r="E901" s="130"/>
      <c r="F901" s="102"/>
      <c r="G901" s="122"/>
      <c r="H901" s="10"/>
      <c r="I901" s="10"/>
    </row>
    <row r="902" spans="2:9" ht="15.75">
      <c r="B902" s="111"/>
      <c r="C902" s="111"/>
      <c r="D902" s="102"/>
      <c r="E902" s="130"/>
      <c r="F902" s="102"/>
      <c r="G902" s="122"/>
      <c r="H902" s="10"/>
      <c r="I902" s="10"/>
    </row>
    <row r="903" spans="2:9" ht="15.75">
      <c r="B903" s="111"/>
      <c r="C903" s="111"/>
      <c r="D903" s="102"/>
      <c r="E903" s="130"/>
      <c r="F903" s="102"/>
      <c r="G903" s="122"/>
      <c r="H903" s="10"/>
      <c r="I903" s="10"/>
    </row>
    <row r="904" spans="2:9" ht="15.75">
      <c r="B904" s="111"/>
      <c r="C904" s="111"/>
      <c r="D904" s="102"/>
      <c r="E904" s="130"/>
      <c r="F904" s="102"/>
      <c r="G904" s="122"/>
      <c r="H904" s="10"/>
      <c r="I904" s="10"/>
    </row>
    <row r="905" spans="2:9" ht="15.75">
      <c r="B905" s="111"/>
      <c r="C905" s="111"/>
      <c r="D905" s="102"/>
      <c r="E905" s="130"/>
      <c r="F905" s="102"/>
      <c r="G905" s="122"/>
      <c r="H905" s="10"/>
      <c r="I905" s="10"/>
    </row>
    <row r="906" spans="2:9" ht="15.75">
      <c r="B906" s="111"/>
      <c r="C906" s="111"/>
      <c r="D906" s="102"/>
      <c r="E906" s="130"/>
      <c r="F906" s="102"/>
      <c r="G906" s="122"/>
      <c r="H906" s="10"/>
      <c r="I906" s="10"/>
    </row>
    <row r="907" spans="2:9" ht="15.75">
      <c r="B907" s="111"/>
      <c r="C907" s="111"/>
      <c r="D907" s="102"/>
      <c r="E907" s="130"/>
      <c r="F907" s="102"/>
      <c r="G907" s="122"/>
      <c r="H907" s="10"/>
      <c r="I907" s="10"/>
    </row>
    <row r="908" spans="2:9" ht="15.75">
      <c r="B908" s="111"/>
      <c r="C908" s="111"/>
      <c r="D908" s="102"/>
      <c r="E908" s="130"/>
      <c r="F908" s="102"/>
      <c r="G908" s="122"/>
      <c r="H908" s="10"/>
      <c r="I908" s="10"/>
    </row>
    <row r="909" spans="2:9" ht="15.75">
      <c r="B909" s="111"/>
      <c r="C909" s="111"/>
      <c r="D909" s="102"/>
      <c r="E909" s="130"/>
      <c r="F909" s="102"/>
      <c r="G909" s="122"/>
      <c r="H909" s="10"/>
      <c r="I909" s="10"/>
    </row>
    <row r="910" spans="2:9" ht="15.75">
      <c r="B910" s="111"/>
      <c r="C910" s="111"/>
      <c r="D910" s="102"/>
      <c r="E910" s="130"/>
      <c r="F910" s="102"/>
      <c r="G910" s="122"/>
      <c r="H910" s="10"/>
      <c r="I910" s="10"/>
    </row>
    <row r="911" spans="2:9" ht="15.75">
      <c r="B911" s="111"/>
      <c r="C911" s="111"/>
      <c r="D911" s="102"/>
      <c r="E911" s="130"/>
      <c r="F911" s="102"/>
      <c r="G911" s="122"/>
      <c r="H911" s="10"/>
      <c r="I911" s="10"/>
    </row>
    <row r="912" spans="2:9" ht="15.75">
      <c r="B912" s="111"/>
      <c r="C912" s="111"/>
      <c r="D912" s="102"/>
      <c r="E912" s="130"/>
      <c r="F912" s="102"/>
      <c r="G912" s="122"/>
      <c r="H912" s="10"/>
      <c r="I912" s="10"/>
    </row>
    <row r="913" spans="2:9" ht="15.75">
      <c r="B913" s="111"/>
      <c r="C913" s="111"/>
      <c r="D913" s="102"/>
      <c r="E913" s="130"/>
      <c r="F913" s="102"/>
      <c r="G913" s="122"/>
      <c r="H913" s="10"/>
      <c r="I913" s="10"/>
    </row>
    <row r="914" spans="2:9" ht="15.75">
      <c r="B914" s="111"/>
      <c r="C914" s="111"/>
      <c r="D914" s="102"/>
      <c r="E914" s="130"/>
      <c r="F914" s="102"/>
      <c r="G914" s="122"/>
      <c r="H914" s="10"/>
      <c r="I914" s="10"/>
    </row>
    <row r="915" spans="2:9" ht="15.75">
      <c r="B915" s="111"/>
      <c r="C915" s="111"/>
      <c r="D915" s="102"/>
      <c r="E915" s="130"/>
      <c r="F915" s="102"/>
      <c r="G915" s="122"/>
      <c r="H915" s="10"/>
      <c r="I915" s="10"/>
    </row>
    <row r="916" spans="2:9" ht="15.75">
      <c r="B916" s="111"/>
      <c r="C916" s="111"/>
      <c r="D916" s="102"/>
      <c r="E916" s="130"/>
      <c r="F916" s="102"/>
      <c r="G916" s="122"/>
      <c r="H916" s="10"/>
      <c r="I916" s="10"/>
    </row>
    <row r="917" spans="2:9" ht="15.75">
      <c r="B917" s="111"/>
      <c r="C917" s="111"/>
      <c r="D917" s="102"/>
      <c r="E917" s="130"/>
      <c r="F917" s="102"/>
      <c r="G917" s="122"/>
      <c r="H917" s="10"/>
      <c r="I917" s="10"/>
    </row>
    <row r="918" spans="2:9" ht="15.75">
      <c r="B918" s="111"/>
      <c r="C918" s="111"/>
      <c r="D918" s="102"/>
      <c r="E918" s="130"/>
      <c r="F918" s="102"/>
      <c r="G918" s="122"/>
      <c r="H918" s="10"/>
      <c r="I918" s="10"/>
    </row>
    <row r="919" spans="2:9" ht="15.75">
      <c r="B919" s="111"/>
      <c r="C919" s="111"/>
      <c r="D919" s="102"/>
      <c r="E919" s="130"/>
      <c r="F919" s="102"/>
      <c r="G919" s="122"/>
      <c r="H919" s="10"/>
      <c r="I919" s="10"/>
    </row>
    <row r="920" spans="2:9" ht="15.75">
      <c r="B920" s="111"/>
      <c r="C920" s="111"/>
      <c r="D920" s="102"/>
      <c r="E920" s="130"/>
      <c r="F920" s="102"/>
      <c r="G920" s="122"/>
      <c r="H920" s="10"/>
      <c r="I920" s="10"/>
    </row>
    <row r="921" spans="2:9" ht="15.75">
      <c r="B921" s="111"/>
      <c r="C921" s="111"/>
      <c r="D921" s="102"/>
      <c r="E921" s="130"/>
      <c r="F921" s="102"/>
      <c r="G921" s="122"/>
      <c r="H921" s="10"/>
      <c r="I921" s="10"/>
    </row>
    <row r="922" spans="2:9" ht="15.75">
      <c r="B922" s="111"/>
      <c r="C922" s="111"/>
      <c r="D922" s="102"/>
      <c r="E922" s="130"/>
      <c r="F922" s="102"/>
      <c r="G922" s="122"/>
      <c r="H922" s="10"/>
      <c r="I922" s="10"/>
    </row>
    <row r="923" spans="2:9" ht="15.75">
      <c r="B923" s="111"/>
      <c r="C923" s="111"/>
      <c r="D923" s="102"/>
      <c r="E923" s="130"/>
      <c r="F923" s="102"/>
      <c r="G923" s="122"/>
      <c r="H923" s="10"/>
      <c r="I923" s="10"/>
    </row>
    <row r="924" spans="2:9" ht="15.75">
      <c r="B924" s="111"/>
      <c r="C924" s="111"/>
      <c r="D924" s="102"/>
      <c r="E924" s="130"/>
      <c r="F924" s="102"/>
      <c r="G924" s="122"/>
      <c r="H924" s="10"/>
      <c r="I924" s="10"/>
    </row>
    <row r="925" spans="2:9" ht="15.75">
      <c r="B925" s="111"/>
      <c r="C925" s="111"/>
      <c r="D925" s="102"/>
      <c r="E925" s="130"/>
      <c r="F925" s="102"/>
      <c r="G925" s="122"/>
      <c r="H925" s="10"/>
      <c r="I925" s="10"/>
    </row>
    <row r="926" spans="2:9" ht="15.75">
      <c r="B926" s="111"/>
      <c r="C926" s="111"/>
      <c r="D926" s="102"/>
      <c r="E926" s="130"/>
      <c r="F926" s="102"/>
      <c r="G926" s="122"/>
      <c r="H926" s="10"/>
      <c r="I926" s="10"/>
    </row>
    <row r="927" spans="2:9" ht="15.75">
      <c r="B927" s="111"/>
      <c r="C927" s="111"/>
      <c r="D927" s="102"/>
      <c r="E927" s="130"/>
      <c r="F927" s="102"/>
      <c r="G927" s="122"/>
      <c r="H927" s="10"/>
      <c r="I927" s="10"/>
    </row>
    <row r="928" spans="2:9" ht="15.75">
      <c r="B928" s="111"/>
      <c r="C928" s="111"/>
      <c r="D928" s="102"/>
      <c r="E928" s="130"/>
      <c r="F928" s="102"/>
      <c r="G928" s="122"/>
      <c r="H928" s="10"/>
      <c r="I928" s="10"/>
    </row>
    <row r="929" spans="2:9" ht="15.75">
      <c r="B929" s="111"/>
      <c r="C929" s="111"/>
      <c r="D929" s="102"/>
      <c r="E929" s="130"/>
      <c r="F929" s="102"/>
      <c r="G929" s="122"/>
      <c r="H929" s="10"/>
      <c r="I929" s="10"/>
    </row>
    <row r="930" spans="2:9" ht="15.75">
      <c r="B930" s="111"/>
      <c r="C930" s="111"/>
      <c r="D930" s="102"/>
      <c r="E930" s="130"/>
      <c r="F930" s="102"/>
      <c r="G930" s="122"/>
      <c r="H930" s="10"/>
      <c r="I930" s="10"/>
    </row>
    <row r="931" spans="2:9" ht="15.75">
      <c r="B931" s="111"/>
      <c r="C931" s="111"/>
      <c r="D931" s="102"/>
      <c r="E931" s="130"/>
      <c r="F931" s="102"/>
      <c r="G931" s="122"/>
      <c r="H931" s="10"/>
      <c r="I931" s="10"/>
    </row>
    <row r="932" spans="2:9" ht="15.75">
      <c r="B932" s="111"/>
      <c r="C932" s="111"/>
      <c r="D932" s="102"/>
      <c r="E932" s="130"/>
      <c r="F932" s="102"/>
      <c r="G932" s="122"/>
      <c r="H932" s="10"/>
      <c r="I932" s="10"/>
    </row>
    <row r="933" spans="2:9" ht="15.75">
      <c r="B933" s="111"/>
      <c r="C933" s="111"/>
      <c r="D933" s="102"/>
      <c r="E933" s="130"/>
      <c r="F933" s="102"/>
      <c r="G933" s="122"/>
      <c r="H933" s="10"/>
      <c r="I933" s="10"/>
    </row>
    <row r="934" spans="2:9" ht="15.75">
      <c r="B934" s="111"/>
      <c r="C934" s="111"/>
      <c r="D934" s="102"/>
      <c r="E934" s="130"/>
      <c r="F934" s="102"/>
      <c r="G934" s="122"/>
      <c r="H934" s="10"/>
      <c r="I934" s="10"/>
    </row>
    <row r="935" spans="2:9" ht="15.75">
      <c r="B935" s="111"/>
      <c r="C935" s="111"/>
      <c r="D935" s="102"/>
      <c r="E935" s="130"/>
      <c r="F935" s="102"/>
      <c r="G935" s="122"/>
      <c r="H935" s="10"/>
      <c r="I935" s="10"/>
    </row>
    <row r="936" spans="2:9" ht="15.75">
      <c r="B936" s="111"/>
      <c r="C936" s="111"/>
      <c r="D936" s="102"/>
      <c r="E936" s="130"/>
      <c r="F936" s="102"/>
      <c r="G936" s="122"/>
      <c r="H936" s="10"/>
      <c r="I936" s="10"/>
    </row>
    <row r="937" spans="2:9" ht="15.75">
      <c r="B937" s="111"/>
      <c r="C937" s="111"/>
      <c r="D937" s="102"/>
      <c r="E937" s="130"/>
      <c r="F937" s="102"/>
      <c r="G937" s="122"/>
      <c r="H937" s="10"/>
      <c r="I937" s="10"/>
    </row>
    <row r="938" spans="2:9" ht="15.75">
      <c r="B938" s="111"/>
      <c r="C938" s="111"/>
      <c r="D938" s="102"/>
      <c r="E938" s="130"/>
      <c r="F938" s="102"/>
      <c r="G938" s="122"/>
      <c r="H938" s="10"/>
      <c r="I938" s="10"/>
    </row>
    <row r="939" spans="2:9" ht="15.75">
      <c r="B939" s="111"/>
      <c r="C939" s="111"/>
      <c r="D939" s="102"/>
      <c r="E939" s="130"/>
      <c r="F939" s="102"/>
      <c r="G939" s="122"/>
      <c r="H939" s="10"/>
      <c r="I939" s="10"/>
    </row>
    <row r="940" spans="2:9" ht="15.75">
      <c r="B940" s="111"/>
      <c r="C940" s="111"/>
      <c r="D940" s="102"/>
      <c r="E940" s="130"/>
      <c r="F940" s="102"/>
      <c r="G940" s="122"/>
      <c r="H940" s="10"/>
      <c r="I940" s="10"/>
    </row>
    <row r="941" spans="2:9" ht="15.75">
      <c r="B941" s="111"/>
      <c r="C941" s="111"/>
      <c r="D941" s="102"/>
      <c r="E941" s="130"/>
      <c r="F941" s="102"/>
      <c r="G941" s="122"/>
      <c r="H941" s="10"/>
      <c r="I941" s="10"/>
    </row>
    <row r="942" spans="2:9" ht="15.75">
      <c r="B942" s="111"/>
      <c r="C942" s="111"/>
      <c r="D942" s="102"/>
      <c r="E942" s="130"/>
      <c r="F942" s="102"/>
      <c r="G942" s="122"/>
      <c r="H942" s="10"/>
      <c r="I942" s="10"/>
    </row>
    <row r="943" spans="2:9" ht="15.75">
      <c r="B943" s="111"/>
      <c r="C943" s="111"/>
      <c r="D943" s="102"/>
      <c r="E943" s="130"/>
      <c r="F943" s="102"/>
      <c r="G943" s="122"/>
      <c r="H943" s="10"/>
      <c r="I943" s="10"/>
    </row>
    <row r="944" spans="2:9" ht="15.75">
      <c r="B944" s="111"/>
      <c r="C944" s="111"/>
      <c r="D944" s="102"/>
      <c r="E944" s="130"/>
      <c r="F944" s="102"/>
      <c r="G944" s="122"/>
      <c r="H944" s="10"/>
      <c r="I944" s="10"/>
    </row>
    <row r="945" spans="2:9" ht="15.75">
      <c r="B945" s="111"/>
      <c r="C945" s="111"/>
      <c r="D945" s="102"/>
      <c r="E945" s="130"/>
      <c r="F945" s="102"/>
      <c r="G945" s="122"/>
      <c r="H945" s="10"/>
      <c r="I945" s="10"/>
    </row>
    <row r="946" spans="2:9" ht="15.75">
      <c r="B946" s="111"/>
      <c r="C946" s="111"/>
      <c r="D946" s="102"/>
      <c r="E946" s="130"/>
      <c r="F946" s="102"/>
      <c r="G946" s="122"/>
      <c r="H946" s="10"/>
      <c r="I946" s="10"/>
    </row>
    <row r="947" spans="2:9" ht="15.75">
      <c r="B947" s="111"/>
      <c r="C947" s="111"/>
      <c r="D947" s="102"/>
      <c r="E947" s="130"/>
      <c r="F947" s="102"/>
      <c r="G947" s="122"/>
      <c r="H947" s="10"/>
      <c r="I947" s="10"/>
    </row>
    <row r="948" spans="2:9" ht="15.75">
      <c r="B948" s="111"/>
      <c r="C948" s="111"/>
      <c r="D948" s="102"/>
      <c r="E948" s="130"/>
      <c r="F948" s="102"/>
      <c r="G948" s="122"/>
      <c r="H948" s="10"/>
      <c r="I948" s="10"/>
    </row>
    <row r="949" spans="2:9" ht="15.75">
      <c r="B949" s="111"/>
      <c r="C949" s="111"/>
      <c r="D949" s="102"/>
      <c r="E949" s="130"/>
      <c r="F949" s="102"/>
      <c r="G949" s="122"/>
      <c r="H949" s="10"/>
      <c r="I949" s="10"/>
    </row>
    <row r="950" spans="2:9" ht="15.75">
      <c r="B950" s="111"/>
      <c r="C950" s="111"/>
      <c r="D950" s="102"/>
      <c r="E950" s="130"/>
      <c r="F950" s="102"/>
      <c r="G950" s="122"/>
      <c r="H950" s="10"/>
      <c r="I950" s="10"/>
    </row>
    <row r="951" spans="2:9" ht="15.75">
      <c r="B951" s="111"/>
      <c r="C951" s="111"/>
      <c r="D951" s="102"/>
      <c r="E951" s="130"/>
      <c r="F951" s="102"/>
      <c r="G951" s="122"/>
      <c r="H951" s="10"/>
      <c r="I951" s="10"/>
    </row>
    <row r="952" spans="2:9" ht="15.75">
      <c r="B952" s="111"/>
      <c r="C952" s="111"/>
      <c r="D952" s="102"/>
      <c r="E952" s="130"/>
      <c r="F952" s="102"/>
      <c r="G952" s="122"/>
      <c r="H952" s="10"/>
      <c r="I952" s="10"/>
    </row>
    <row r="953" spans="2:9" ht="15.75">
      <c r="B953" s="111"/>
      <c r="C953" s="111"/>
      <c r="D953" s="102"/>
      <c r="E953" s="130"/>
      <c r="F953" s="102"/>
      <c r="G953" s="122"/>
      <c r="H953" s="10"/>
      <c r="I953" s="10"/>
    </row>
    <row r="954" spans="2:9" ht="15.75">
      <c r="B954" s="111"/>
      <c r="C954" s="111"/>
      <c r="D954" s="102"/>
      <c r="E954" s="130"/>
      <c r="F954" s="102"/>
      <c r="G954" s="122"/>
      <c r="H954" s="10"/>
      <c r="I954" s="10"/>
    </row>
    <row r="955" spans="2:9" ht="15.75">
      <c r="B955" s="111"/>
      <c r="C955" s="111"/>
      <c r="D955" s="102"/>
      <c r="E955" s="130"/>
      <c r="F955" s="102"/>
      <c r="G955" s="122"/>
      <c r="H955" s="10"/>
      <c r="I955" s="10"/>
    </row>
    <row r="956" spans="2:9" ht="15.75">
      <c r="B956" s="111"/>
      <c r="C956" s="111"/>
      <c r="D956" s="102"/>
      <c r="E956" s="130"/>
      <c r="F956" s="102"/>
      <c r="G956" s="122"/>
      <c r="H956" s="10"/>
      <c r="I956" s="10"/>
    </row>
    <row r="957" spans="2:9" ht="15.75">
      <c r="B957" s="111"/>
      <c r="C957" s="111"/>
      <c r="D957" s="102"/>
      <c r="E957" s="130"/>
      <c r="F957" s="102"/>
      <c r="G957" s="122"/>
      <c r="H957" s="10"/>
      <c r="I957" s="10"/>
    </row>
    <row r="958" spans="2:9" ht="15.75">
      <c r="B958" s="111"/>
      <c r="C958" s="111"/>
      <c r="D958" s="102"/>
      <c r="E958" s="130"/>
      <c r="F958" s="102"/>
      <c r="G958" s="122"/>
      <c r="H958" s="10"/>
      <c r="I958" s="10"/>
    </row>
    <row r="959" spans="2:9" ht="15.75">
      <c r="B959" s="111"/>
      <c r="C959" s="111"/>
      <c r="D959" s="102"/>
      <c r="E959" s="130"/>
      <c r="F959" s="102"/>
      <c r="G959" s="122"/>
      <c r="H959" s="10"/>
      <c r="I959" s="10"/>
    </row>
    <row r="960" spans="2:9" ht="15.75">
      <c r="B960" s="111"/>
      <c r="C960" s="111"/>
      <c r="D960" s="102"/>
      <c r="E960" s="130"/>
      <c r="F960" s="102"/>
      <c r="G960" s="122"/>
      <c r="H960" s="10"/>
      <c r="I960" s="10"/>
    </row>
    <row r="961" spans="2:9" ht="15.75">
      <c r="B961" s="111"/>
      <c r="C961" s="111"/>
      <c r="D961" s="102"/>
      <c r="E961" s="130"/>
      <c r="F961" s="102"/>
      <c r="G961" s="122"/>
      <c r="H961" s="10"/>
      <c r="I961" s="10"/>
    </row>
    <row r="962" spans="2:9" ht="15.75">
      <c r="B962" s="111"/>
      <c r="C962" s="111"/>
      <c r="D962" s="102"/>
      <c r="E962" s="130"/>
      <c r="F962" s="102"/>
      <c r="G962" s="122"/>
      <c r="H962" s="10"/>
      <c r="I962" s="10"/>
    </row>
    <row r="963" spans="2:9" ht="15.75">
      <c r="B963" s="111"/>
      <c r="C963" s="111"/>
      <c r="D963" s="102"/>
      <c r="E963" s="130"/>
      <c r="F963" s="102"/>
      <c r="G963" s="122"/>
      <c r="H963" s="10"/>
      <c r="I963" s="10"/>
    </row>
    <row r="964" spans="2:9" ht="15.75">
      <c r="B964" s="111"/>
      <c r="C964" s="111"/>
      <c r="D964" s="102"/>
      <c r="E964" s="130"/>
      <c r="F964" s="102"/>
      <c r="G964" s="122"/>
      <c r="H964" s="10"/>
      <c r="I964" s="10"/>
    </row>
    <row r="965" spans="2:9" ht="15.75">
      <c r="B965" s="111"/>
      <c r="C965" s="111"/>
      <c r="D965" s="102"/>
      <c r="E965" s="130"/>
      <c r="F965" s="102"/>
      <c r="G965" s="122"/>
      <c r="H965" s="10"/>
      <c r="I965" s="10"/>
    </row>
    <row r="966" spans="2:9" ht="15.75">
      <c r="B966" s="111"/>
      <c r="C966" s="111"/>
      <c r="D966" s="102"/>
      <c r="E966" s="130"/>
      <c r="F966" s="102"/>
      <c r="G966" s="122"/>
      <c r="H966" s="10"/>
      <c r="I966" s="10"/>
    </row>
    <row r="967" spans="2:9" ht="15.75">
      <c r="B967" s="111"/>
      <c r="C967" s="111"/>
      <c r="D967" s="102"/>
      <c r="E967" s="130"/>
      <c r="F967" s="102"/>
      <c r="G967" s="122"/>
      <c r="H967" s="10"/>
      <c r="I967" s="10"/>
    </row>
    <row r="968" spans="2:9" ht="15.75">
      <c r="B968" s="111"/>
      <c r="C968" s="111"/>
      <c r="D968" s="102"/>
      <c r="E968" s="130"/>
      <c r="F968" s="102"/>
      <c r="G968" s="122"/>
      <c r="H968" s="10"/>
      <c r="I968" s="10"/>
    </row>
    <row r="969" spans="2:9" ht="15.75">
      <c r="B969" s="111"/>
      <c r="C969" s="111"/>
      <c r="D969" s="102"/>
      <c r="E969" s="130"/>
      <c r="F969" s="102"/>
      <c r="G969" s="122"/>
      <c r="H969" s="10"/>
      <c r="I969" s="10"/>
    </row>
    <row r="970" spans="2:9" ht="15.75">
      <c r="B970" s="111"/>
      <c r="C970" s="111"/>
      <c r="D970" s="102"/>
      <c r="E970" s="130"/>
      <c r="F970" s="102"/>
      <c r="G970" s="122"/>
      <c r="H970" s="10"/>
      <c r="I970" s="10"/>
    </row>
    <row r="971" spans="2:9" ht="15.75">
      <c r="B971" s="111"/>
      <c r="C971" s="111"/>
      <c r="D971" s="102"/>
      <c r="E971" s="130"/>
      <c r="F971" s="102"/>
      <c r="G971" s="122"/>
      <c r="H971" s="10"/>
      <c r="I971" s="10"/>
    </row>
    <row r="972" spans="2:9" ht="15.75">
      <c r="B972" s="111"/>
      <c r="C972" s="111"/>
      <c r="D972" s="102"/>
      <c r="E972" s="130"/>
      <c r="F972" s="102"/>
      <c r="G972" s="122"/>
      <c r="H972" s="10"/>
      <c r="I972" s="10"/>
    </row>
    <row r="973" spans="2:9" ht="15.75">
      <c r="B973" s="111"/>
      <c r="C973" s="111"/>
      <c r="D973" s="102"/>
      <c r="E973" s="130"/>
      <c r="F973" s="102"/>
      <c r="G973" s="122"/>
      <c r="H973" s="10"/>
      <c r="I973" s="10"/>
    </row>
    <row r="974" spans="2:9" ht="15.75">
      <c r="B974" s="111"/>
      <c r="C974" s="111"/>
      <c r="D974" s="102"/>
      <c r="E974" s="130"/>
      <c r="F974" s="102"/>
      <c r="G974" s="122"/>
      <c r="H974" s="10"/>
      <c r="I974" s="10"/>
    </row>
    <row r="975" spans="2:9" ht="15.75">
      <c r="B975" s="111"/>
      <c r="C975" s="111"/>
      <c r="D975" s="102"/>
      <c r="E975" s="130"/>
      <c r="F975" s="102"/>
      <c r="G975" s="122"/>
      <c r="H975" s="10"/>
      <c r="I975" s="10"/>
    </row>
    <row r="976" spans="2:9" ht="15.75">
      <c r="B976" s="111"/>
      <c r="C976" s="111"/>
      <c r="D976" s="102"/>
      <c r="E976" s="130"/>
      <c r="F976" s="102"/>
      <c r="G976" s="122"/>
      <c r="H976" s="10"/>
      <c r="I976" s="10"/>
    </row>
    <row r="977" spans="2:9" ht="15.75">
      <c r="B977" s="111"/>
      <c r="C977" s="111"/>
      <c r="D977" s="102"/>
      <c r="E977" s="130"/>
      <c r="F977" s="102"/>
      <c r="G977" s="122"/>
      <c r="H977" s="10"/>
      <c r="I977" s="10"/>
    </row>
    <row r="978" spans="2:9" ht="15.75">
      <c r="B978" s="111"/>
      <c r="C978" s="111"/>
      <c r="D978" s="102"/>
      <c r="E978" s="130"/>
      <c r="F978" s="102"/>
      <c r="G978" s="122"/>
      <c r="H978" s="10"/>
      <c r="I978" s="10"/>
    </row>
    <row r="979" spans="2:9" ht="15.75">
      <c r="B979" s="111"/>
      <c r="C979" s="111"/>
      <c r="D979" s="102"/>
      <c r="E979" s="130"/>
      <c r="F979" s="102"/>
      <c r="G979" s="122"/>
      <c r="H979" s="10"/>
      <c r="I979" s="10"/>
    </row>
    <row r="980" spans="2:9" ht="15.75">
      <c r="B980" s="111"/>
      <c r="C980" s="111"/>
      <c r="D980" s="102"/>
      <c r="E980" s="130"/>
      <c r="F980" s="102"/>
      <c r="G980" s="122"/>
      <c r="H980" s="10"/>
      <c r="I980" s="10"/>
    </row>
    <row r="981" spans="2:9" ht="15.75">
      <c r="B981" s="111"/>
      <c r="C981" s="111"/>
      <c r="D981" s="102"/>
      <c r="E981" s="130"/>
      <c r="F981" s="102"/>
      <c r="G981" s="122"/>
      <c r="H981" s="10"/>
      <c r="I981" s="10"/>
    </row>
    <row r="982" spans="2:9" ht="15.75">
      <c r="B982" s="111"/>
      <c r="C982" s="111"/>
      <c r="D982" s="102"/>
      <c r="E982" s="130"/>
      <c r="F982" s="102"/>
      <c r="G982" s="122"/>
      <c r="H982" s="10"/>
      <c r="I982" s="10"/>
    </row>
    <row r="983" spans="2:9" ht="15.75">
      <c r="B983" s="111"/>
      <c r="C983" s="111"/>
      <c r="D983" s="102"/>
      <c r="E983" s="130"/>
      <c r="F983" s="102"/>
      <c r="G983" s="122"/>
      <c r="H983" s="10"/>
      <c r="I983" s="10"/>
    </row>
    <row r="984" spans="2:9" ht="15.75">
      <c r="B984" s="111"/>
      <c r="C984" s="111"/>
      <c r="D984" s="102"/>
      <c r="E984" s="130"/>
      <c r="F984" s="102"/>
      <c r="G984" s="122"/>
      <c r="H984" s="10"/>
      <c r="I984" s="10"/>
    </row>
    <row r="985" spans="2:9" ht="15.75">
      <c r="B985" s="111"/>
      <c r="C985" s="111"/>
      <c r="D985" s="102"/>
      <c r="E985" s="130"/>
      <c r="F985" s="102"/>
      <c r="G985" s="122"/>
      <c r="H985" s="10"/>
      <c r="I985" s="10"/>
    </row>
    <row r="986" spans="2:9" ht="15.75">
      <c r="B986" s="111"/>
      <c r="C986" s="111"/>
      <c r="D986" s="102"/>
      <c r="E986" s="130"/>
      <c r="F986" s="102"/>
      <c r="G986" s="122"/>
      <c r="H986" s="10"/>
      <c r="I986" s="10"/>
    </row>
    <row r="987" spans="2:9" ht="15.75">
      <c r="B987" s="111"/>
      <c r="C987" s="111"/>
      <c r="D987" s="102"/>
      <c r="E987" s="130"/>
      <c r="F987" s="102"/>
      <c r="G987" s="122"/>
      <c r="H987" s="10"/>
      <c r="I987" s="10"/>
    </row>
    <row r="988" spans="2:9" ht="15.75">
      <c r="B988" s="111"/>
      <c r="C988" s="111"/>
      <c r="D988" s="102"/>
      <c r="E988" s="130"/>
      <c r="F988" s="102"/>
      <c r="G988" s="122"/>
      <c r="H988" s="10"/>
      <c r="I988" s="10"/>
    </row>
    <row r="989" spans="2:9" ht="15.75">
      <c r="B989" s="111"/>
      <c r="C989" s="111"/>
      <c r="D989" s="102"/>
      <c r="E989" s="130"/>
      <c r="F989" s="102"/>
      <c r="G989" s="122"/>
      <c r="H989" s="10"/>
      <c r="I989" s="10"/>
    </row>
    <row r="990" spans="2:9" ht="15.75">
      <c r="B990" s="111"/>
      <c r="C990" s="111"/>
      <c r="D990" s="102"/>
      <c r="E990" s="130"/>
      <c r="F990" s="102"/>
      <c r="G990" s="122"/>
      <c r="H990" s="10"/>
      <c r="I990" s="10"/>
    </row>
    <row r="991" spans="2:9" ht="15.75">
      <c r="B991" s="111"/>
      <c r="C991" s="111"/>
      <c r="D991" s="102"/>
      <c r="E991" s="130"/>
      <c r="F991" s="102"/>
      <c r="G991" s="122"/>
      <c r="H991" s="10"/>
      <c r="I991" s="10"/>
    </row>
    <row r="992" spans="2:9" ht="15.75">
      <c r="B992" s="111"/>
      <c r="C992" s="111"/>
      <c r="D992" s="102"/>
      <c r="E992" s="130"/>
      <c r="F992" s="102"/>
      <c r="G992" s="122"/>
      <c r="H992" s="10"/>
      <c r="I992" s="10"/>
    </row>
    <row r="993" spans="2:9" ht="15.75">
      <c r="B993" s="111"/>
      <c r="C993" s="111"/>
      <c r="D993" s="102"/>
      <c r="E993" s="130"/>
      <c r="F993" s="102"/>
      <c r="G993" s="122"/>
      <c r="H993" s="10"/>
      <c r="I993" s="10"/>
    </row>
    <row r="994" spans="2:9" ht="15.75">
      <c r="B994" s="111"/>
      <c r="C994" s="111"/>
      <c r="D994" s="102"/>
      <c r="E994" s="130"/>
      <c r="F994" s="102"/>
      <c r="G994" s="122"/>
      <c r="H994" s="10"/>
      <c r="I994" s="10"/>
    </row>
    <row r="995" spans="2:9" ht="15.75">
      <c r="B995" s="111"/>
      <c r="C995" s="111"/>
      <c r="D995" s="102"/>
      <c r="E995" s="130"/>
      <c r="F995" s="102"/>
      <c r="G995" s="122"/>
      <c r="H995" s="10"/>
      <c r="I995" s="10"/>
    </row>
    <row r="996" spans="2:9" ht="15.75">
      <c r="B996" s="111"/>
      <c r="C996" s="111"/>
      <c r="D996" s="102"/>
      <c r="E996" s="130"/>
      <c r="F996" s="102"/>
      <c r="G996" s="122"/>
      <c r="H996" s="10"/>
      <c r="I996" s="10"/>
    </row>
    <row r="997" spans="2:9" ht="15.75">
      <c r="B997" s="111"/>
      <c r="C997" s="111"/>
      <c r="D997" s="102"/>
      <c r="E997" s="130"/>
      <c r="F997" s="102"/>
      <c r="G997" s="122"/>
      <c r="H997" s="10"/>
      <c r="I997" s="10"/>
    </row>
    <row r="998" spans="2:9" ht="15.75">
      <c r="B998" s="111"/>
      <c r="C998" s="111"/>
      <c r="D998" s="102"/>
      <c r="E998" s="130"/>
      <c r="F998" s="102"/>
      <c r="G998" s="122"/>
      <c r="H998" s="10"/>
      <c r="I998" s="10"/>
    </row>
    <row r="999" spans="2:9" ht="15.75">
      <c r="B999" s="111"/>
      <c r="C999" s="111"/>
      <c r="D999" s="102"/>
      <c r="E999" s="130"/>
      <c r="F999" s="102"/>
      <c r="G999" s="122"/>
      <c r="H999" s="10"/>
      <c r="I999" s="10"/>
    </row>
    <row r="1000" spans="2:9" ht="15.75">
      <c r="B1000" s="111"/>
      <c r="C1000" s="111"/>
      <c r="D1000" s="102"/>
      <c r="E1000" s="130"/>
      <c r="F1000" s="102"/>
      <c r="G1000" s="122"/>
      <c r="H1000" s="10"/>
      <c r="I1000" s="10"/>
    </row>
    <row r="1001" spans="2:9" ht="15.75">
      <c r="B1001" s="111"/>
      <c r="C1001" s="111"/>
      <c r="D1001" s="102"/>
      <c r="E1001" s="130"/>
      <c r="F1001" s="102"/>
      <c r="G1001" s="122"/>
      <c r="H1001" s="10"/>
      <c r="I1001" s="10"/>
    </row>
    <row r="1002" spans="2:9" ht="15.75">
      <c r="B1002" s="111"/>
      <c r="C1002" s="111"/>
      <c r="D1002" s="102"/>
      <c r="E1002" s="130"/>
      <c r="F1002" s="102"/>
      <c r="G1002" s="122"/>
      <c r="H1002" s="10"/>
      <c r="I1002" s="10"/>
    </row>
    <row r="1003" spans="2:9" ht="15.75">
      <c r="B1003" s="111"/>
      <c r="C1003" s="111"/>
      <c r="D1003" s="102"/>
      <c r="E1003" s="130"/>
      <c r="F1003" s="102"/>
      <c r="G1003" s="122"/>
      <c r="H1003" s="10"/>
      <c r="I1003" s="10"/>
    </row>
    <row r="1004" spans="2:9" ht="15.75">
      <c r="B1004" s="111"/>
      <c r="C1004" s="111"/>
      <c r="D1004" s="102"/>
      <c r="E1004" s="130"/>
      <c r="F1004" s="102"/>
      <c r="G1004" s="122"/>
      <c r="H1004" s="10"/>
      <c r="I1004" s="10"/>
    </row>
    <row r="1005" spans="2:9" ht="15.75">
      <c r="B1005" s="111"/>
      <c r="C1005" s="111"/>
      <c r="D1005" s="102"/>
      <c r="E1005" s="130"/>
      <c r="F1005" s="102"/>
      <c r="G1005" s="122"/>
      <c r="H1005" s="10"/>
      <c r="I1005" s="10"/>
    </row>
    <row r="1006" spans="2:9" ht="15.75">
      <c r="B1006" s="111"/>
      <c r="C1006" s="111"/>
      <c r="D1006" s="102"/>
      <c r="E1006" s="130"/>
      <c r="F1006" s="102"/>
      <c r="G1006" s="122"/>
      <c r="H1006" s="10"/>
      <c r="I1006" s="10"/>
    </row>
    <row r="1007" spans="2:9" ht="15.75">
      <c r="B1007" s="111"/>
      <c r="C1007" s="111"/>
      <c r="D1007" s="102"/>
      <c r="E1007" s="130"/>
      <c r="F1007" s="102"/>
      <c r="G1007" s="122"/>
      <c r="H1007" s="10"/>
      <c r="I1007" s="10"/>
    </row>
    <row r="1008" spans="2:9" ht="15.75">
      <c r="B1008" s="111"/>
      <c r="C1008" s="111"/>
      <c r="D1008" s="102"/>
      <c r="E1008" s="130"/>
      <c r="F1008" s="102"/>
      <c r="G1008" s="122"/>
      <c r="H1008" s="10"/>
      <c r="I1008" s="10"/>
    </row>
    <row r="1009" spans="2:9" ht="15.75">
      <c r="B1009" s="111"/>
      <c r="C1009" s="111"/>
      <c r="D1009" s="102"/>
      <c r="E1009" s="130"/>
      <c r="F1009" s="102"/>
      <c r="G1009" s="122"/>
      <c r="H1009" s="10"/>
      <c r="I1009" s="10"/>
    </row>
    <row r="1010" spans="2:9" ht="15.75">
      <c r="B1010" s="111"/>
      <c r="C1010" s="111"/>
      <c r="D1010" s="102"/>
      <c r="E1010" s="130"/>
      <c r="F1010" s="102"/>
      <c r="G1010" s="122"/>
      <c r="H1010" s="10"/>
      <c r="I1010" s="10"/>
    </row>
    <row r="1011" spans="2:9" ht="15.75">
      <c r="B1011" s="111"/>
      <c r="C1011" s="111"/>
      <c r="D1011" s="102"/>
      <c r="E1011" s="130"/>
      <c r="F1011" s="102"/>
      <c r="G1011" s="122"/>
      <c r="H1011" s="10"/>
      <c r="I1011" s="10"/>
    </row>
    <row r="1012" spans="2:9" ht="15.75">
      <c r="B1012" s="111"/>
      <c r="C1012" s="111"/>
      <c r="D1012" s="102"/>
      <c r="E1012" s="130"/>
      <c r="F1012" s="102"/>
      <c r="G1012" s="122"/>
      <c r="H1012" s="10"/>
      <c r="I1012" s="10"/>
    </row>
    <row r="1013" spans="2:9" ht="15.75">
      <c r="B1013" s="111"/>
      <c r="C1013" s="111"/>
      <c r="D1013" s="102"/>
      <c r="E1013" s="130"/>
      <c r="F1013" s="102"/>
      <c r="G1013" s="122"/>
      <c r="H1013" s="10"/>
      <c r="I1013" s="10"/>
    </row>
    <row r="1014" spans="2:9" ht="15.75">
      <c r="B1014" s="111"/>
      <c r="C1014" s="111"/>
      <c r="D1014" s="102"/>
      <c r="E1014" s="130"/>
      <c r="F1014" s="102"/>
      <c r="G1014" s="122"/>
      <c r="H1014" s="10"/>
      <c r="I1014" s="10"/>
    </row>
    <row r="1015" spans="2:9" ht="15.75">
      <c r="B1015" s="111"/>
      <c r="C1015" s="111"/>
      <c r="D1015" s="102"/>
      <c r="E1015" s="130"/>
      <c r="F1015" s="102"/>
      <c r="G1015" s="122"/>
      <c r="H1015" s="10"/>
      <c r="I1015" s="10"/>
    </row>
    <row r="1016" spans="2:9" ht="15.75">
      <c r="B1016" s="111"/>
      <c r="C1016" s="111"/>
      <c r="D1016" s="102"/>
      <c r="E1016" s="130"/>
      <c r="F1016" s="102"/>
      <c r="G1016" s="122"/>
      <c r="H1016" s="10"/>
      <c r="I1016" s="10"/>
    </row>
    <row r="1017" spans="2:9" ht="15.75">
      <c r="B1017" s="111"/>
      <c r="C1017" s="111"/>
      <c r="D1017" s="102"/>
      <c r="E1017" s="130"/>
      <c r="F1017" s="102"/>
      <c r="G1017" s="122"/>
      <c r="H1017" s="10"/>
      <c r="I1017" s="10"/>
    </row>
    <row r="1018" spans="2:9" ht="15.75">
      <c r="B1018" s="111"/>
      <c r="C1018" s="111"/>
      <c r="D1018" s="102"/>
      <c r="E1018" s="130"/>
      <c r="F1018" s="102"/>
      <c r="G1018" s="122"/>
      <c r="H1018" s="10"/>
      <c r="I1018" s="10"/>
    </row>
    <row r="1019" spans="2:9" ht="15.75">
      <c r="B1019" s="111"/>
      <c r="C1019" s="111"/>
      <c r="D1019" s="102"/>
      <c r="E1019" s="130"/>
      <c r="F1019" s="102"/>
      <c r="G1019" s="122"/>
      <c r="H1019" s="10"/>
      <c r="I1019" s="10"/>
    </row>
    <row r="1020" spans="2:9" ht="15.75">
      <c r="B1020" s="111"/>
      <c r="C1020" s="111"/>
      <c r="D1020" s="102"/>
      <c r="E1020" s="130"/>
      <c r="F1020" s="102"/>
      <c r="G1020" s="122"/>
      <c r="H1020" s="10"/>
      <c r="I1020" s="10"/>
    </row>
    <row r="1021" spans="2:9" ht="15.75">
      <c r="B1021" s="111"/>
      <c r="C1021" s="111"/>
      <c r="D1021" s="102"/>
      <c r="E1021" s="130"/>
      <c r="F1021" s="102"/>
      <c r="G1021" s="122"/>
      <c r="H1021" s="10"/>
      <c r="I1021" s="10"/>
    </row>
    <row r="1022" spans="2:9" ht="15.75">
      <c r="B1022" s="111"/>
      <c r="C1022" s="111"/>
      <c r="D1022" s="102"/>
      <c r="E1022" s="130"/>
      <c r="F1022" s="102"/>
      <c r="G1022" s="122"/>
      <c r="H1022" s="10"/>
      <c r="I1022" s="10"/>
    </row>
    <row r="1023" spans="2:9" ht="15.75">
      <c r="B1023" s="111"/>
      <c r="C1023" s="111"/>
      <c r="D1023" s="102"/>
      <c r="E1023" s="130"/>
      <c r="F1023" s="102"/>
      <c r="G1023" s="122"/>
      <c r="H1023" s="10"/>
      <c r="I1023" s="10"/>
    </row>
    <row r="1024" spans="2:9" ht="15.75">
      <c r="B1024" s="111"/>
      <c r="C1024" s="111"/>
      <c r="D1024" s="102"/>
      <c r="E1024" s="130"/>
      <c r="F1024" s="102"/>
      <c r="G1024" s="122"/>
      <c r="H1024" s="10"/>
      <c r="I1024" s="10"/>
    </row>
    <row r="1025" spans="2:9" ht="15.75">
      <c r="B1025" s="111"/>
      <c r="C1025" s="111"/>
      <c r="D1025" s="102"/>
      <c r="E1025" s="130"/>
      <c r="F1025" s="102"/>
      <c r="G1025" s="122"/>
      <c r="H1025" s="10"/>
      <c r="I1025" s="10"/>
    </row>
    <row r="1026" spans="2:9" ht="15.75">
      <c r="B1026" s="111"/>
      <c r="C1026" s="111"/>
      <c r="D1026" s="102"/>
      <c r="E1026" s="130"/>
      <c r="F1026" s="102"/>
      <c r="G1026" s="122"/>
      <c r="H1026" s="10"/>
      <c r="I1026" s="10"/>
    </row>
    <row r="1027" spans="2:9" ht="15.75">
      <c r="B1027" s="111"/>
      <c r="C1027" s="111"/>
      <c r="D1027" s="102"/>
      <c r="E1027" s="130"/>
      <c r="F1027" s="102"/>
      <c r="G1027" s="122"/>
      <c r="H1027" s="10"/>
      <c r="I1027" s="10"/>
    </row>
    <row r="1028" spans="2:9" ht="15.75">
      <c r="B1028" s="111"/>
      <c r="C1028" s="111"/>
      <c r="D1028" s="102"/>
      <c r="E1028" s="130"/>
      <c r="F1028" s="102"/>
      <c r="G1028" s="122"/>
      <c r="H1028" s="10"/>
      <c r="I1028" s="10"/>
    </row>
    <row r="1029" spans="2:9" ht="15.75">
      <c r="B1029" s="111"/>
      <c r="C1029" s="111"/>
      <c r="D1029" s="102"/>
      <c r="E1029" s="130"/>
      <c r="F1029" s="102"/>
      <c r="G1029" s="122"/>
      <c r="H1029" s="10"/>
      <c r="I1029" s="10"/>
    </row>
    <row r="1030" spans="2:9" ht="15.75">
      <c r="B1030" s="111"/>
      <c r="C1030" s="111"/>
      <c r="D1030" s="102"/>
      <c r="E1030" s="130"/>
      <c r="F1030" s="102"/>
      <c r="G1030" s="122"/>
      <c r="H1030" s="10"/>
      <c r="I1030" s="10"/>
    </row>
    <row r="1031" spans="2:9" ht="15.75">
      <c r="B1031" s="111"/>
      <c r="C1031" s="111"/>
      <c r="D1031" s="102"/>
      <c r="E1031" s="130"/>
      <c r="F1031" s="102"/>
      <c r="G1031" s="122"/>
      <c r="H1031" s="10"/>
      <c r="I1031" s="10"/>
    </row>
    <row r="1032" spans="2:9" ht="15.75">
      <c r="B1032" s="111"/>
      <c r="C1032" s="111"/>
      <c r="D1032" s="102"/>
      <c r="E1032" s="130"/>
      <c r="F1032" s="102"/>
      <c r="G1032" s="122"/>
      <c r="H1032" s="10"/>
      <c r="I1032" s="10"/>
    </row>
    <row r="1033" spans="2:9" ht="15.75">
      <c r="B1033" s="111"/>
      <c r="C1033" s="111"/>
      <c r="D1033" s="102"/>
      <c r="E1033" s="130"/>
      <c r="F1033" s="102"/>
      <c r="G1033" s="122"/>
      <c r="H1033" s="10"/>
      <c r="I1033" s="10"/>
    </row>
    <row r="1034" spans="2:9" ht="15.75">
      <c r="B1034" s="111"/>
      <c r="C1034" s="111"/>
      <c r="D1034" s="102"/>
      <c r="E1034" s="130"/>
      <c r="F1034" s="102"/>
      <c r="G1034" s="122"/>
      <c r="H1034" s="10"/>
      <c r="I1034" s="10"/>
    </row>
    <row r="1035" spans="2:9" ht="15.75">
      <c r="B1035" s="111"/>
      <c r="C1035" s="111"/>
      <c r="D1035" s="102"/>
      <c r="E1035" s="130"/>
      <c r="F1035" s="102"/>
      <c r="G1035" s="122"/>
      <c r="H1035" s="10"/>
      <c r="I1035" s="10"/>
    </row>
    <row r="1036" spans="2:9" ht="15.75">
      <c r="B1036" s="111"/>
      <c r="C1036" s="111"/>
      <c r="D1036" s="102"/>
      <c r="E1036" s="130"/>
      <c r="F1036" s="102"/>
      <c r="G1036" s="122"/>
      <c r="H1036" s="10"/>
      <c r="I1036" s="10"/>
    </row>
    <row r="1037" spans="2:9" ht="15.75">
      <c r="B1037" s="111"/>
      <c r="C1037" s="111"/>
      <c r="D1037" s="102"/>
      <c r="E1037" s="130"/>
      <c r="F1037" s="102"/>
      <c r="G1037" s="122"/>
      <c r="H1037" s="10"/>
      <c r="I1037" s="10"/>
    </row>
    <row r="1038" spans="2:9" ht="15.75">
      <c r="B1038" s="111"/>
      <c r="C1038" s="111"/>
      <c r="D1038" s="102"/>
      <c r="E1038" s="130"/>
      <c r="F1038" s="102"/>
      <c r="G1038" s="122"/>
      <c r="H1038" s="10"/>
      <c r="I1038" s="10"/>
    </row>
    <row r="1039" spans="2:9" ht="15.75">
      <c r="B1039" s="111"/>
      <c r="C1039" s="111"/>
      <c r="D1039" s="102"/>
      <c r="E1039" s="130"/>
      <c r="F1039" s="102"/>
      <c r="G1039" s="122"/>
      <c r="H1039" s="10"/>
      <c r="I1039" s="10"/>
    </row>
    <row r="1040" spans="2:9" ht="15.75">
      <c r="B1040" s="111"/>
      <c r="C1040" s="111"/>
      <c r="D1040" s="102"/>
      <c r="E1040" s="130"/>
      <c r="F1040" s="102"/>
      <c r="G1040" s="122"/>
      <c r="H1040" s="10"/>
      <c r="I1040" s="10"/>
    </row>
    <row r="1041" spans="2:9" ht="15.75">
      <c r="B1041" s="111"/>
      <c r="C1041" s="111"/>
      <c r="D1041" s="102"/>
      <c r="E1041" s="130"/>
      <c r="F1041" s="102"/>
      <c r="G1041" s="122"/>
      <c r="H1041" s="10"/>
      <c r="I1041" s="10"/>
    </row>
    <row r="1042" spans="2:9" ht="15.75">
      <c r="B1042" s="111"/>
      <c r="C1042" s="111"/>
      <c r="D1042" s="102"/>
      <c r="E1042" s="130"/>
      <c r="F1042" s="102"/>
      <c r="G1042" s="122"/>
      <c r="H1042" s="10"/>
      <c r="I1042" s="10"/>
    </row>
    <row r="1043" spans="2:9" ht="15.75">
      <c r="B1043" s="111"/>
      <c r="C1043" s="111"/>
      <c r="D1043" s="102"/>
      <c r="E1043" s="130"/>
      <c r="F1043" s="102"/>
      <c r="G1043" s="122"/>
      <c r="H1043" s="10"/>
      <c r="I1043" s="10"/>
    </row>
    <row r="1044" spans="2:9" ht="15.75">
      <c r="B1044" s="111"/>
      <c r="C1044" s="111"/>
      <c r="D1044" s="102"/>
      <c r="E1044" s="130"/>
      <c r="F1044" s="102"/>
      <c r="G1044" s="122"/>
      <c r="H1044" s="10"/>
      <c r="I1044" s="10"/>
    </row>
    <row r="1045" spans="2:9" ht="15.75">
      <c r="B1045" s="111"/>
      <c r="C1045" s="111"/>
      <c r="D1045" s="102"/>
      <c r="E1045" s="130"/>
      <c r="F1045" s="102"/>
      <c r="G1045" s="122"/>
      <c r="H1045" s="10"/>
      <c r="I1045" s="10"/>
    </row>
    <row r="1046" spans="2:9" ht="15.75">
      <c r="B1046" s="111"/>
      <c r="C1046" s="111"/>
      <c r="D1046" s="102"/>
      <c r="E1046" s="130"/>
      <c r="F1046" s="102"/>
      <c r="G1046" s="122"/>
      <c r="H1046" s="10"/>
      <c r="I1046" s="10"/>
    </row>
    <row r="1047" spans="2:9" ht="15.75">
      <c r="B1047" s="111"/>
      <c r="C1047" s="111"/>
      <c r="D1047" s="102"/>
      <c r="E1047" s="130"/>
      <c r="F1047" s="102"/>
      <c r="G1047" s="122"/>
      <c r="H1047" s="10"/>
      <c r="I1047" s="10"/>
    </row>
    <row r="1048" spans="2:9" ht="15.75">
      <c r="B1048" s="111"/>
      <c r="C1048" s="111"/>
      <c r="D1048" s="102"/>
      <c r="E1048" s="130"/>
      <c r="F1048" s="102"/>
      <c r="G1048" s="122"/>
      <c r="H1048" s="10"/>
      <c r="I1048" s="10"/>
    </row>
    <row r="1049" spans="2:9" ht="15.75">
      <c r="B1049" s="111"/>
      <c r="C1049" s="111"/>
      <c r="D1049" s="102"/>
      <c r="E1049" s="130"/>
      <c r="F1049" s="102"/>
      <c r="G1049" s="122"/>
      <c r="H1049" s="10"/>
      <c r="I1049" s="10"/>
    </row>
    <row r="1050" spans="2:9" ht="15.75">
      <c r="B1050" s="111"/>
      <c r="C1050" s="111"/>
      <c r="D1050" s="102"/>
      <c r="E1050" s="130"/>
      <c r="F1050" s="102"/>
      <c r="G1050" s="122"/>
      <c r="H1050" s="10"/>
      <c r="I1050" s="10"/>
    </row>
    <row r="1051" spans="2:9" ht="15.75">
      <c r="B1051" s="111"/>
      <c r="C1051" s="111"/>
      <c r="D1051" s="102"/>
      <c r="E1051" s="130"/>
      <c r="F1051" s="102"/>
      <c r="G1051" s="122"/>
      <c r="H1051" s="10"/>
      <c r="I1051" s="10"/>
    </row>
    <row r="1052" spans="2:9" ht="15.75">
      <c r="B1052" s="111"/>
      <c r="C1052" s="111"/>
      <c r="D1052" s="102"/>
      <c r="E1052" s="130"/>
      <c r="F1052" s="102"/>
      <c r="G1052" s="122"/>
      <c r="H1052" s="10"/>
      <c r="I1052" s="10"/>
    </row>
    <row r="1053" spans="2:9" ht="15.75">
      <c r="B1053" s="111"/>
      <c r="C1053" s="111"/>
      <c r="D1053" s="102"/>
      <c r="E1053" s="130"/>
      <c r="F1053" s="102"/>
      <c r="G1053" s="122"/>
      <c r="H1053" s="10"/>
      <c r="I1053" s="10"/>
    </row>
    <row r="1054" spans="2:9" ht="15.75">
      <c r="B1054" s="111"/>
      <c r="C1054" s="111"/>
      <c r="D1054" s="102"/>
      <c r="E1054" s="130"/>
      <c r="F1054" s="102"/>
      <c r="G1054" s="122"/>
      <c r="H1054" s="10"/>
      <c r="I1054" s="10"/>
    </row>
    <row r="1055" spans="2:9" ht="15.75">
      <c r="B1055" s="111"/>
      <c r="C1055" s="111"/>
      <c r="D1055" s="102"/>
      <c r="E1055" s="130"/>
      <c r="F1055" s="102"/>
      <c r="G1055" s="122"/>
      <c r="H1055" s="10"/>
      <c r="I1055" s="10"/>
    </row>
    <row r="1056" spans="2:9" ht="15.75">
      <c r="B1056" s="111"/>
      <c r="C1056" s="111"/>
      <c r="D1056" s="102"/>
      <c r="E1056" s="130"/>
      <c r="F1056" s="102"/>
      <c r="G1056" s="122"/>
      <c r="H1056" s="10"/>
      <c r="I1056" s="10"/>
    </row>
    <row r="1057" spans="2:9" ht="15.75">
      <c r="B1057" s="111"/>
      <c r="C1057" s="111"/>
      <c r="D1057" s="102"/>
      <c r="E1057" s="130"/>
      <c r="F1057" s="102"/>
      <c r="G1057" s="122"/>
      <c r="H1057" s="10"/>
      <c r="I1057" s="10"/>
    </row>
    <row r="1058" spans="2:9" ht="15.75">
      <c r="B1058" s="111"/>
      <c r="C1058" s="111"/>
      <c r="D1058" s="102"/>
      <c r="E1058" s="130"/>
      <c r="F1058" s="102"/>
      <c r="G1058" s="122"/>
      <c r="H1058" s="10"/>
      <c r="I1058" s="10"/>
    </row>
    <row r="1059" spans="2:9" ht="15.75">
      <c r="B1059" s="111"/>
      <c r="C1059" s="111"/>
      <c r="D1059" s="102"/>
      <c r="E1059" s="130"/>
      <c r="F1059" s="102"/>
      <c r="G1059" s="122"/>
      <c r="H1059" s="10"/>
      <c r="I1059" s="10"/>
    </row>
    <row r="1060" spans="2:9" ht="15.75">
      <c r="B1060" s="111"/>
      <c r="C1060" s="111"/>
      <c r="D1060" s="102"/>
      <c r="E1060" s="130"/>
      <c r="F1060" s="102"/>
      <c r="G1060" s="122"/>
      <c r="H1060" s="10"/>
      <c r="I1060" s="10"/>
    </row>
    <row r="1061" spans="2:9" ht="15.75">
      <c r="B1061" s="111"/>
      <c r="C1061" s="111"/>
      <c r="D1061" s="102"/>
      <c r="E1061" s="130"/>
      <c r="F1061" s="102"/>
      <c r="G1061" s="122"/>
      <c r="H1061" s="10"/>
      <c r="I1061" s="10"/>
    </row>
    <row r="1062" spans="2:9" ht="15.75">
      <c r="B1062" s="111"/>
      <c r="C1062" s="111"/>
      <c r="D1062" s="102"/>
      <c r="E1062" s="130"/>
      <c r="F1062" s="102"/>
      <c r="G1062" s="122"/>
      <c r="H1062" s="10"/>
      <c r="I1062" s="10"/>
    </row>
    <row r="1063" spans="2:9" ht="15.75">
      <c r="B1063" s="111"/>
      <c r="C1063" s="111"/>
      <c r="D1063" s="102"/>
      <c r="E1063" s="130"/>
      <c r="F1063" s="102"/>
      <c r="G1063" s="122"/>
      <c r="H1063" s="10"/>
      <c r="I1063" s="10"/>
    </row>
    <row r="1064" spans="2:9" ht="15.75">
      <c r="B1064" s="111"/>
      <c r="C1064" s="111"/>
      <c r="D1064" s="102"/>
      <c r="E1064" s="130"/>
      <c r="F1064" s="102"/>
      <c r="G1064" s="122"/>
      <c r="H1064" s="10"/>
      <c r="I1064" s="10"/>
    </row>
    <row r="1065" spans="2:9" ht="15.75">
      <c r="B1065" s="111"/>
      <c r="C1065" s="111"/>
      <c r="D1065" s="102"/>
      <c r="E1065" s="130"/>
      <c r="F1065" s="102"/>
      <c r="G1065" s="122"/>
      <c r="H1065" s="10"/>
      <c r="I1065" s="10"/>
    </row>
    <row r="1066" spans="2:9" ht="15.75">
      <c r="B1066" s="111"/>
      <c r="C1066" s="111"/>
      <c r="D1066" s="102"/>
      <c r="E1066" s="130"/>
      <c r="F1066" s="102"/>
      <c r="G1066" s="122"/>
      <c r="H1066" s="10"/>
      <c r="I1066" s="10"/>
    </row>
    <row r="1067" spans="2:9" ht="15.75">
      <c r="B1067" s="111"/>
      <c r="C1067" s="111"/>
      <c r="D1067" s="102"/>
      <c r="E1067" s="130"/>
      <c r="F1067" s="102"/>
      <c r="G1067" s="122"/>
      <c r="H1067" s="10"/>
      <c r="I1067" s="10"/>
    </row>
    <row r="1068" spans="2:9" ht="15.75">
      <c r="B1068" s="111"/>
      <c r="C1068" s="111"/>
      <c r="D1068" s="102"/>
      <c r="E1068" s="130"/>
      <c r="F1068" s="102"/>
      <c r="G1068" s="122"/>
      <c r="H1068" s="10"/>
      <c r="I1068" s="10"/>
    </row>
    <row r="1069" spans="2:9" ht="15.75">
      <c r="B1069" s="111"/>
      <c r="C1069" s="111"/>
      <c r="D1069" s="102"/>
      <c r="E1069" s="130"/>
      <c r="F1069" s="102"/>
      <c r="G1069" s="122"/>
      <c r="H1069" s="10"/>
      <c r="I1069" s="10"/>
    </row>
    <row r="1070" spans="2:9" ht="15.75">
      <c r="B1070" s="111"/>
      <c r="C1070" s="111"/>
      <c r="D1070" s="102"/>
      <c r="E1070" s="130"/>
      <c r="F1070" s="102"/>
      <c r="G1070" s="122"/>
      <c r="H1070" s="10"/>
      <c r="I1070" s="10"/>
    </row>
    <row r="1071" spans="2:9" ht="15.75">
      <c r="B1071" s="111"/>
      <c r="C1071" s="111"/>
      <c r="D1071" s="102"/>
      <c r="E1071" s="130"/>
      <c r="F1071" s="102"/>
      <c r="G1071" s="122"/>
      <c r="H1071" s="10"/>
      <c r="I1071" s="10"/>
    </row>
    <row r="1072" spans="2:9" ht="15.75">
      <c r="B1072" s="111"/>
      <c r="C1072" s="111"/>
      <c r="D1072" s="102"/>
      <c r="E1072" s="130"/>
      <c r="F1072" s="102"/>
      <c r="G1072" s="122"/>
      <c r="H1072" s="10"/>
      <c r="I1072" s="10"/>
    </row>
    <row r="1073" spans="2:9" ht="15.75">
      <c r="B1073" s="111"/>
      <c r="C1073" s="111"/>
      <c r="D1073" s="102"/>
      <c r="E1073" s="130"/>
      <c r="F1073" s="102"/>
      <c r="G1073" s="122"/>
      <c r="H1073" s="10"/>
      <c r="I1073" s="10"/>
    </row>
    <row r="1074" spans="2:9" ht="15.75">
      <c r="B1074" s="111"/>
      <c r="C1074" s="111"/>
      <c r="D1074" s="102"/>
      <c r="E1074" s="130"/>
      <c r="F1074" s="102"/>
      <c r="G1074" s="122"/>
      <c r="H1074" s="10"/>
      <c r="I1074" s="10"/>
    </row>
    <row r="1075" spans="2:9" ht="15.75">
      <c r="B1075" s="111"/>
      <c r="C1075" s="111"/>
      <c r="D1075" s="102"/>
      <c r="E1075" s="130"/>
      <c r="F1075" s="102"/>
      <c r="G1075" s="122"/>
      <c r="H1075" s="10"/>
      <c r="I1075" s="10"/>
    </row>
    <row r="1076" spans="2:9" ht="15.75">
      <c r="B1076" s="111"/>
      <c r="C1076" s="111"/>
      <c r="D1076" s="102"/>
      <c r="E1076" s="130"/>
      <c r="F1076" s="102"/>
      <c r="G1076" s="122"/>
      <c r="H1076" s="10"/>
      <c r="I1076" s="10"/>
    </row>
    <row r="1077" spans="2:9" ht="15.75">
      <c r="B1077" s="111"/>
      <c r="C1077" s="111"/>
      <c r="D1077" s="102"/>
      <c r="E1077" s="130"/>
      <c r="F1077" s="102"/>
      <c r="G1077" s="122"/>
      <c r="H1077" s="10"/>
      <c r="I1077" s="10"/>
    </row>
    <row r="1078" spans="2:9" ht="15.75">
      <c r="B1078" s="111"/>
      <c r="C1078" s="111"/>
      <c r="D1078" s="102"/>
      <c r="E1078" s="130"/>
      <c r="F1078" s="102"/>
      <c r="G1078" s="122"/>
      <c r="H1078" s="10"/>
      <c r="I1078" s="10"/>
    </row>
    <row r="1079" spans="2:9" ht="15.75">
      <c r="B1079" s="111"/>
      <c r="C1079" s="111"/>
      <c r="D1079" s="102"/>
      <c r="E1079" s="130"/>
      <c r="F1079" s="102"/>
      <c r="G1079" s="122"/>
      <c r="H1079" s="10"/>
      <c r="I1079" s="10"/>
    </row>
    <row r="1080" spans="2:9" ht="15.75">
      <c r="B1080" s="111"/>
      <c r="C1080" s="111"/>
      <c r="D1080" s="102"/>
      <c r="E1080" s="130"/>
      <c r="F1080" s="102"/>
      <c r="G1080" s="122"/>
      <c r="H1080" s="10"/>
      <c r="I1080" s="10"/>
    </row>
    <row r="1081" spans="2:9" ht="15.75">
      <c r="B1081" s="111"/>
      <c r="C1081" s="111"/>
      <c r="D1081" s="102"/>
      <c r="E1081" s="130"/>
      <c r="F1081" s="102"/>
      <c r="G1081" s="122"/>
      <c r="H1081" s="10"/>
      <c r="I1081" s="10"/>
    </row>
    <row r="1082" spans="2:9" ht="15.75">
      <c r="B1082" s="111"/>
      <c r="C1082" s="111"/>
      <c r="D1082" s="102"/>
      <c r="E1082" s="130"/>
      <c r="F1082" s="102"/>
      <c r="G1082" s="122"/>
      <c r="H1082" s="10"/>
      <c r="I1082" s="10"/>
    </row>
    <row r="1083" spans="2:9" ht="15.75">
      <c r="B1083" s="111"/>
      <c r="C1083" s="111"/>
      <c r="D1083" s="102"/>
      <c r="E1083" s="130"/>
      <c r="F1083" s="102"/>
      <c r="G1083" s="122"/>
      <c r="H1083" s="10"/>
      <c r="I1083" s="10"/>
    </row>
    <row r="1084" spans="2:9" ht="15.75">
      <c r="B1084" s="111"/>
      <c r="C1084" s="111"/>
      <c r="D1084" s="102"/>
      <c r="E1084" s="130"/>
      <c r="F1084" s="102"/>
      <c r="G1084" s="122"/>
      <c r="H1084" s="10"/>
      <c r="I1084" s="10"/>
    </row>
    <row r="1085" spans="2:9" ht="15.75">
      <c r="B1085" s="111"/>
      <c r="C1085" s="111"/>
      <c r="D1085" s="102"/>
      <c r="E1085" s="130"/>
      <c r="F1085" s="102"/>
      <c r="G1085" s="122"/>
      <c r="H1085" s="10"/>
      <c r="I1085" s="10"/>
    </row>
    <row r="1086" spans="2:9" ht="15.75">
      <c r="B1086" s="111"/>
      <c r="C1086" s="111"/>
      <c r="D1086" s="102"/>
      <c r="E1086" s="130"/>
      <c r="F1086" s="102"/>
      <c r="G1086" s="122"/>
      <c r="H1086" s="10"/>
      <c r="I1086" s="10"/>
    </row>
    <row r="1087" spans="2:9" ht="15.75">
      <c r="B1087" s="111"/>
      <c r="C1087" s="111"/>
      <c r="D1087" s="102"/>
      <c r="E1087" s="130"/>
      <c r="F1087" s="102"/>
      <c r="G1087" s="122"/>
      <c r="H1087" s="10"/>
      <c r="I1087" s="10"/>
    </row>
    <row r="1088" spans="2:9" ht="15.75">
      <c r="B1088" s="111"/>
      <c r="C1088" s="111"/>
      <c r="D1088" s="102"/>
      <c r="E1088" s="130"/>
      <c r="F1088" s="102"/>
      <c r="G1088" s="122"/>
      <c r="H1088" s="10"/>
      <c r="I1088" s="10"/>
    </row>
    <row r="1089" spans="2:9" ht="15.75">
      <c r="B1089" s="111"/>
      <c r="C1089" s="111"/>
      <c r="D1089" s="102"/>
      <c r="E1089" s="130"/>
      <c r="F1089" s="102"/>
      <c r="G1089" s="122"/>
      <c r="H1089" s="10"/>
      <c r="I1089" s="10"/>
    </row>
    <row r="1090" spans="2:9" ht="15.75">
      <c r="B1090" s="111"/>
      <c r="C1090" s="111"/>
      <c r="D1090" s="102"/>
      <c r="E1090" s="130"/>
      <c r="F1090" s="102"/>
      <c r="G1090" s="122"/>
      <c r="H1090" s="10"/>
      <c r="I1090" s="10"/>
    </row>
    <row r="1091" spans="2:9" ht="15.75">
      <c r="B1091" s="111"/>
      <c r="C1091" s="111"/>
      <c r="D1091" s="102"/>
      <c r="E1091" s="130"/>
      <c r="F1091" s="102"/>
      <c r="G1091" s="122"/>
      <c r="H1091" s="10"/>
      <c r="I1091" s="10"/>
    </row>
    <row r="1092" spans="2:9" ht="15.75">
      <c r="B1092" s="111"/>
      <c r="C1092" s="111"/>
      <c r="D1092" s="102"/>
      <c r="E1092" s="130"/>
      <c r="F1092" s="102"/>
      <c r="G1092" s="122"/>
      <c r="H1092" s="10"/>
      <c r="I1092" s="10"/>
    </row>
    <row r="1093" spans="2:9" ht="15.75">
      <c r="B1093" s="111"/>
      <c r="C1093" s="111"/>
      <c r="D1093" s="102"/>
      <c r="E1093" s="130"/>
      <c r="F1093" s="102"/>
      <c r="G1093" s="122"/>
      <c r="H1093" s="10"/>
      <c r="I1093" s="10"/>
    </row>
    <row r="1094" spans="2:9" ht="15.75">
      <c r="B1094" s="111"/>
      <c r="C1094" s="111"/>
      <c r="D1094" s="102"/>
      <c r="E1094" s="130"/>
      <c r="F1094" s="102"/>
      <c r="G1094" s="122"/>
      <c r="H1094" s="10"/>
      <c r="I1094" s="10"/>
    </row>
    <row r="1095" spans="2:9" ht="15.75">
      <c r="B1095" s="111"/>
      <c r="C1095" s="111"/>
      <c r="D1095" s="102"/>
      <c r="E1095" s="130"/>
      <c r="F1095" s="102"/>
      <c r="G1095" s="122"/>
      <c r="H1095" s="10"/>
      <c r="I1095" s="10"/>
    </row>
    <row r="1096" spans="2:9" ht="15.75">
      <c r="B1096" s="111"/>
      <c r="C1096" s="111"/>
      <c r="D1096" s="102"/>
      <c r="E1096" s="130"/>
      <c r="F1096" s="102"/>
      <c r="G1096" s="122"/>
      <c r="H1096" s="10"/>
      <c r="I1096" s="10"/>
    </row>
    <row r="1097" spans="2:9" ht="15.75">
      <c r="B1097" s="111"/>
      <c r="C1097" s="111"/>
      <c r="D1097" s="102"/>
      <c r="E1097" s="130"/>
      <c r="F1097" s="102"/>
      <c r="G1097" s="122"/>
      <c r="H1097" s="10"/>
      <c r="I1097" s="10"/>
    </row>
    <row r="1098" spans="2:9" ht="15.75">
      <c r="B1098" s="111"/>
      <c r="C1098" s="111"/>
      <c r="D1098" s="102"/>
      <c r="E1098" s="130"/>
      <c r="F1098" s="102"/>
      <c r="G1098" s="122"/>
      <c r="H1098" s="10"/>
      <c r="I1098" s="10"/>
    </row>
    <row r="1099" spans="2:9" ht="15.75">
      <c r="B1099" s="111"/>
      <c r="C1099" s="111"/>
      <c r="D1099" s="102"/>
      <c r="E1099" s="130"/>
      <c r="F1099" s="102"/>
      <c r="G1099" s="122"/>
      <c r="H1099" s="10"/>
      <c r="I1099" s="10"/>
    </row>
    <row r="1100" spans="2:9" ht="15.75">
      <c r="B1100" s="111"/>
      <c r="C1100" s="111"/>
      <c r="D1100" s="102"/>
      <c r="E1100" s="130"/>
      <c r="F1100" s="102"/>
      <c r="G1100" s="122"/>
      <c r="H1100" s="10"/>
      <c r="I1100" s="10"/>
    </row>
    <row r="1101" spans="2:9" ht="15.75">
      <c r="B1101" s="111"/>
      <c r="C1101" s="111"/>
      <c r="D1101" s="102"/>
      <c r="E1101" s="130"/>
      <c r="F1101" s="102"/>
      <c r="G1101" s="122"/>
      <c r="H1101" s="10"/>
      <c r="I1101" s="10"/>
    </row>
    <row r="1102" spans="2:9" ht="15.75">
      <c r="B1102" s="111"/>
      <c r="C1102" s="111"/>
      <c r="D1102" s="102"/>
      <c r="E1102" s="130"/>
      <c r="F1102" s="102"/>
      <c r="G1102" s="122"/>
      <c r="H1102" s="10"/>
      <c r="I1102" s="10"/>
    </row>
    <row r="1103" spans="2:9" ht="15.75">
      <c r="B1103" s="111"/>
      <c r="C1103" s="111"/>
      <c r="D1103" s="102"/>
      <c r="E1103" s="130"/>
      <c r="F1103" s="102"/>
      <c r="G1103" s="122"/>
      <c r="H1103" s="10"/>
      <c r="I1103" s="10"/>
    </row>
    <row r="1104" spans="2:9" ht="15.75">
      <c r="B1104" s="111"/>
      <c r="C1104" s="111"/>
      <c r="D1104" s="102"/>
      <c r="E1104" s="130"/>
      <c r="F1104" s="102"/>
      <c r="G1104" s="122"/>
      <c r="H1104" s="10"/>
      <c r="I1104" s="10"/>
    </row>
    <row r="1105" spans="2:9" ht="15.75">
      <c r="B1105" s="111"/>
      <c r="C1105" s="111"/>
      <c r="D1105" s="102"/>
      <c r="E1105" s="130"/>
      <c r="F1105" s="102"/>
      <c r="G1105" s="122"/>
      <c r="H1105" s="10"/>
      <c r="I1105" s="10"/>
    </row>
    <row r="1106" spans="2:9" ht="15.75">
      <c r="B1106" s="111"/>
      <c r="C1106" s="111"/>
      <c r="D1106" s="102"/>
      <c r="E1106" s="130"/>
      <c r="F1106" s="102"/>
      <c r="G1106" s="122"/>
      <c r="H1106" s="10"/>
      <c r="I1106" s="10"/>
    </row>
    <row r="1107" spans="2:9" ht="15.75">
      <c r="B1107" s="111"/>
      <c r="C1107" s="111"/>
      <c r="D1107" s="102"/>
      <c r="E1107" s="130"/>
      <c r="F1107" s="102"/>
      <c r="G1107" s="122"/>
      <c r="H1107" s="10"/>
      <c r="I1107" s="10"/>
    </row>
    <row r="1108" spans="2:9" ht="15.75">
      <c r="B1108" s="111"/>
      <c r="C1108" s="111"/>
      <c r="D1108" s="102"/>
      <c r="E1108" s="130"/>
      <c r="F1108" s="102"/>
      <c r="G1108" s="122"/>
      <c r="H1108" s="10"/>
      <c r="I1108" s="10"/>
    </row>
    <row r="1109" spans="2:9" ht="15.75">
      <c r="B1109" s="111"/>
      <c r="C1109" s="111"/>
      <c r="D1109" s="102"/>
      <c r="E1109" s="130"/>
      <c r="F1109" s="102"/>
      <c r="G1109" s="122"/>
      <c r="H1109" s="10"/>
      <c r="I1109" s="10"/>
    </row>
    <row r="1110" spans="2:9" ht="15.75">
      <c r="B1110" s="111"/>
      <c r="C1110" s="111"/>
      <c r="D1110" s="102"/>
      <c r="E1110" s="130"/>
      <c r="F1110" s="102"/>
      <c r="G1110" s="122"/>
      <c r="H1110" s="10"/>
      <c r="I1110" s="10"/>
    </row>
    <row r="1111" spans="2:9" ht="15.75">
      <c r="B1111" s="111"/>
      <c r="C1111" s="111"/>
      <c r="D1111" s="102"/>
      <c r="E1111" s="130"/>
      <c r="F1111" s="102"/>
      <c r="G1111" s="122"/>
      <c r="H1111" s="10"/>
      <c r="I1111" s="10"/>
    </row>
    <row r="1112" spans="2:9" ht="15.75">
      <c r="B1112" s="111"/>
      <c r="C1112" s="111"/>
      <c r="D1112" s="102"/>
      <c r="E1112" s="130"/>
      <c r="F1112" s="102"/>
      <c r="G1112" s="122"/>
      <c r="H1112" s="10"/>
      <c r="I1112" s="10"/>
    </row>
    <row r="1113" spans="2:9" ht="15.75">
      <c r="B1113" s="111"/>
      <c r="C1113" s="111"/>
      <c r="D1113" s="102"/>
      <c r="E1113" s="130"/>
      <c r="F1113" s="102"/>
      <c r="G1113" s="122"/>
      <c r="H1113" s="10"/>
      <c r="I1113" s="10"/>
    </row>
    <row r="1114" spans="2:9" ht="15.75">
      <c r="B1114" s="111"/>
      <c r="C1114" s="111"/>
      <c r="D1114" s="102"/>
      <c r="E1114" s="130"/>
      <c r="F1114" s="102"/>
      <c r="G1114" s="122"/>
      <c r="H1114" s="10"/>
      <c r="I1114" s="10"/>
    </row>
    <row r="1115" spans="2:9" ht="15.75">
      <c r="B1115" s="111"/>
      <c r="C1115" s="111"/>
      <c r="D1115" s="102"/>
      <c r="E1115" s="130"/>
      <c r="F1115" s="102"/>
      <c r="G1115" s="122"/>
      <c r="H1115" s="10"/>
      <c r="I1115" s="10"/>
    </row>
    <row r="1116" spans="2:9" ht="15.75">
      <c r="B1116" s="111"/>
      <c r="C1116" s="111"/>
      <c r="D1116" s="102"/>
      <c r="E1116" s="130"/>
      <c r="F1116" s="102"/>
      <c r="G1116" s="122"/>
      <c r="H1116" s="10"/>
      <c r="I1116" s="10"/>
    </row>
    <row r="1117" spans="2:9" ht="15.75">
      <c r="B1117" s="111"/>
      <c r="C1117" s="111"/>
      <c r="D1117" s="102"/>
      <c r="E1117" s="130"/>
      <c r="F1117" s="102"/>
      <c r="G1117" s="122"/>
      <c r="H1117" s="10"/>
      <c r="I1117" s="10"/>
    </row>
    <row r="1118" spans="2:9" ht="15.75">
      <c r="B1118" s="111"/>
      <c r="C1118" s="111"/>
      <c r="D1118" s="102"/>
      <c r="E1118" s="130"/>
      <c r="F1118" s="102"/>
      <c r="G1118" s="122"/>
      <c r="H1118" s="10"/>
      <c r="I1118" s="10"/>
    </row>
    <row r="1119" spans="2:9" ht="15.75">
      <c r="B1119" s="111"/>
      <c r="C1119" s="111"/>
      <c r="D1119" s="102"/>
      <c r="E1119" s="130"/>
      <c r="F1119" s="102"/>
      <c r="G1119" s="122"/>
      <c r="H1119" s="10"/>
      <c r="I1119" s="10"/>
    </row>
    <row r="1120" spans="2:9" ht="15.75">
      <c r="B1120" s="111"/>
      <c r="C1120" s="111"/>
      <c r="D1120" s="102"/>
      <c r="E1120" s="130"/>
      <c r="F1120" s="102"/>
      <c r="G1120" s="122"/>
      <c r="H1120" s="10"/>
      <c r="I1120" s="10"/>
    </row>
    <row r="1121" spans="2:9" ht="15.75">
      <c r="B1121" s="111"/>
      <c r="C1121" s="111"/>
      <c r="D1121" s="102"/>
      <c r="E1121" s="130"/>
      <c r="F1121" s="102"/>
      <c r="G1121" s="122"/>
      <c r="H1121" s="10"/>
      <c r="I1121" s="10"/>
    </row>
    <row r="1122" spans="2:9" ht="15.75">
      <c r="B1122" s="111"/>
      <c r="C1122" s="111"/>
      <c r="D1122" s="102"/>
      <c r="E1122" s="130"/>
      <c r="F1122" s="102"/>
      <c r="G1122" s="122"/>
      <c r="H1122" s="10"/>
      <c r="I1122" s="10"/>
    </row>
    <row r="1123" spans="2:9" ht="15.75">
      <c r="B1123" s="111"/>
      <c r="C1123" s="111"/>
      <c r="D1123" s="102"/>
      <c r="E1123" s="130"/>
      <c r="F1123" s="102"/>
      <c r="G1123" s="122"/>
      <c r="H1123" s="10"/>
      <c r="I1123" s="10"/>
    </row>
    <row r="1124" spans="2:9" ht="15.75">
      <c r="B1124" s="111"/>
      <c r="C1124" s="111"/>
      <c r="D1124" s="102"/>
      <c r="E1124" s="130"/>
      <c r="F1124" s="102"/>
      <c r="G1124" s="122"/>
      <c r="H1124" s="10"/>
      <c r="I1124" s="10"/>
    </row>
    <row r="1125" spans="2:9" ht="15.75">
      <c r="B1125" s="111"/>
      <c r="C1125" s="111"/>
      <c r="D1125" s="102"/>
      <c r="E1125" s="130"/>
      <c r="F1125" s="102"/>
      <c r="G1125" s="122"/>
      <c r="H1125" s="10"/>
      <c r="I1125" s="10"/>
    </row>
    <row r="1126" spans="2:9" ht="15.75">
      <c r="B1126" s="111"/>
      <c r="C1126" s="111"/>
      <c r="D1126" s="102"/>
      <c r="E1126" s="130"/>
      <c r="F1126" s="102"/>
      <c r="G1126" s="122"/>
      <c r="H1126" s="10"/>
      <c r="I1126" s="10"/>
    </row>
    <row r="1127" spans="2:9" ht="15.75">
      <c r="B1127" s="111"/>
      <c r="C1127" s="111"/>
      <c r="D1127" s="102"/>
      <c r="E1127" s="130"/>
      <c r="F1127" s="102"/>
      <c r="G1127" s="122"/>
      <c r="H1127" s="10"/>
      <c r="I1127" s="10"/>
    </row>
    <row r="1128" spans="2:9" ht="15.75">
      <c r="B1128" s="111"/>
      <c r="C1128" s="111"/>
      <c r="D1128" s="102"/>
      <c r="E1128" s="130"/>
      <c r="F1128" s="102"/>
      <c r="G1128" s="122"/>
      <c r="H1128" s="10"/>
      <c r="I1128" s="10"/>
    </row>
    <row r="1129" spans="2:9" ht="15.75">
      <c r="B1129" s="111"/>
      <c r="C1129" s="111"/>
      <c r="D1129" s="102"/>
      <c r="E1129" s="130"/>
      <c r="F1129" s="102"/>
      <c r="G1129" s="122"/>
      <c r="H1129" s="10"/>
      <c r="I1129" s="10"/>
    </row>
    <row r="1130" spans="2:9" ht="15.75">
      <c r="B1130" s="111"/>
      <c r="C1130" s="111"/>
      <c r="D1130" s="102"/>
      <c r="E1130" s="130"/>
      <c r="F1130" s="102"/>
      <c r="G1130" s="122"/>
      <c r="H1130" s="10"/>
      <c r="I1130" s="10"/>
    </row>
    <row r="1131" spans="2:9" ht="15.75">
      <c r="B1131" s="111"/>
      <c r="C1131" s="111"/>
      <c r="D1131" s="102"/>
      <c r="E1131" s="130"/>
      <c r="F1131" s="102"/>
      <c r="G1131" s="122"/>
      <c r="H1131" s="10"/>
      <c r="I1131" s="10"/>
    </row>
    <row r="1132" spans="2:9" ht="15.75">
      <c r="B1132" s="111"/>
      <c r="C1132" s="111"/>
      <c r="D1132" s="102"/>
      <c r="E1132" s="130"/>
      <c r="F1132" s="102"/>
      <c r="G1132" s="122"/>
      <c r="H1132" s="10"/>
      <c r="I1132" s="10"/>
    </row>
    <row r="1133" spans="2:9" ht="15.75">
      <c r="B1133" s="111"/>
      <c r="C1133" s="111"/>
      <c r="D1133" s="102"/>
      <c r="E1133" s="130"/>
      <c r="F1133" s="102"/>
      <c r="G1133" s="122"/>
      <c r="H1133" s="10"/>
      <c r="I1133" s="10"/>
    </row>
    <row r="1134" spans="2:9" ht="15.75">
      <c r="B1134" s="111"/>
      <c r="C1134" s="111"/>
      <c r="D1134" s="102"/>
      <c r="E1134" s="130"/>
      <c r="F1134" s="102"/>
      <c r="G1134" s="122"/>
      <c r="H1134" s="10"/>
      <c r="I1134" s="10"/>
    </row>
    <row r="1135" spans="2:9" ht="15.75">
      <c r="B1135" s="111"/>
      <c r="C1135" s="111"/>
      <c r="D1135" s="102"/>
      <c r="E1135" s="130"/>
      <c r="F1135" s="102"/>
      <c r="G1135" s="122"/>
      <c r="H1135" s="10"/>
      <c r="I1135" s="10"/>
    </row>
    <row r="1136" spans="2:9" ht="15.75">
      <c r="B1136" s="111"/>
      <c r="C1136" s="111"/>
      <c r="D1136" s="102"/>
      <c r="E1136" s="130"/>
      <c r="F1136" s="102"/>
      <c r="G1136" s="122"/>
      <c r="H1136" s="10"/>
      <c r="I1136" s="10"/>
    </row>
    <row r="1137" spans="2:9" ht="15.75">
      <c r="B1137" s="111"/>
      <c r="C1137" s="111"/>
      <c r="D1137" s="102"/>
      <c r="E1137" s="130"/>
      <c r="F1137" s="102"/>
      <c r="G1137" s="122"/>
      <c r="H1137" s="10"/>
      <c r="I1137" s="10"/>
    </row>
    <row r="1138" spans="2:9" ht="15.75">
      <c r="B1138" s="111"/>
      <c r="C1138" s="111"/>
      <c r="D1138" s="102"/>
      <c r="E1138" s="130"/>
      <c r="F1138" s="102"/>
      <c r="G1138" s="122"/>
      <c r="H1138" s="10"/>
      <c r="I1138" s="10"/>
    </row>
    <row r="1139" spans="2:9" ht="15.75">
      <c r="B1139" s="111"/>
      <c r="C1139" s="111"/>
      <c r="D1139" s="102"/>
      <c r="E1139" s="130"/>
      <c r="F1139" s="102"/>
      <c r="G1139" s="122"/>
      <c r="H1139" s="10"/>
      <c r="I1139" s="10"/>
    </row>
    <row r="1140" spans="2:9" ht="15.75">
      <c r="B1140" s="111"/>
      <c r="C1140" s="111"/>
      <c r="D1140" s="102"/>
      <c r="E1140" s="130"/>
      <c r="F1140" s="102"/>
      <c r="G1140" s="122"/>
      <c r="H1140" s="10"/>
      <c r="I1140" s="10"/>
    </row>
    <row r="1141" spans="2:9" ht="15.75">
      <c r="B1141" s="111"/>
      <c r="C1141" s="111"/>
      <c r="D1141" s="102"/>
      <c r="E1141" s="130"/>
      <c r="F1141" s="102"/>
      <c r="G1141" s="122"/>
      <c r="H1141" s="10"/>
      <c r="I1141" s="10"/>
    </row>
    <row r="1142" spans="2:9" ht="15.75">
      <c r="B1142" s="111"/>
      <c r="C1142" s="111"/>
      <c r="D1142" s="102"/>
      <c r="E1142" s="130"/>
      <c r="F1142" s="102"/>
      <c r="G1142" s="122"/>
      <c r="H1142" s="10"/>
      <c r="I1142" s="10"/>
    </row>
    <row r="1143" spans="2:9" ht="15.75">
      <c r="B1143" s="111"/>
      <c r="C1143" s="111"/>
      <c r="D1143" s="102"/>
      <c r="E1143" s="130"/>
      <c r="F1143" s="102"/>
      <c r="G1143" s="122"/>
      <c r="H1143" s="10"/>
      <c r="I1143" s="10"/>
    </row>
    <row r="1144" spans="2:9" ht="15.75">
      <c r="B1144" s="111"/>
      <c r="C1144" s="111"/>
      <c r="D1144" s="102"/>
      <c r="E1144" s="130"/>
      <c r="F1144" s="102"/>
      <c r="G1144" s="122"/>
      <c r="H1144" s="10"/>
      <c r="I1144" s="10"/>
    </row>
    <row r="1145" spans="2:9" ht="15.75">
      <c r="B1145" s="111"/>
      <c r="C1145" s="111"/>
      <c r="D1145" s="102"/>
      <c r="E1145" s="130"/>
      <c r="F1145" s="102"/>
      <c r="G1145" s="122"/>
      <c r="H1145" s="10"/>
      <c r="I1145" s="10"/>
    </row>
    <row r="1146" spans="2:9" ht="15.75">
      <c r="B1146" s="111"/>
      <c r="C1146" s="111"/>
      <c r="D1146" s="102"/>
      <c r="E1146" s="130"/>
      <c r="F1146" s="102"/>
      <c r="G1146" s="122"/>
      <c r="H1146" s="10"/>
      <c r="I1146" s="10"/>
    </row>
    <row r="1147" spans="2:9" ht="15.75">
      <c r="B1147" s="111"/>
      <c r="C1147" s="111"/>
      <c r="D1147" s="102"/>
      <c r="E1147" s="130"/>
      <c r="F1147" s="102"/>
      <c r="G1147" s="122"/>
      <c r="H1147" s="10"/>
      <c r="I1147" s="10"/>
    </row>
    <row r="1148" spans="2:9" ht="15.75">
      <c r="B1148" s="111"/>
      <c r="C1148" s="111"/>
      <c r="D1148" s="102"/>
      <c r="E1148" s="130"/>
      <c r="F1148" s="102"/>
      <c r="G1148" s="122"/>
      <c r="H1148" s="10"/>
      <c r="I1148" s="10"/>
    </row>
    <row r="1149" spans="2:9" ht="15.75">
      <c r="B1149" s="111"/>
      <c r="C1149" s="111"/>
      <c r="D1149" s="102"/>
      <c r="E1149" s="130"/>
      <c r="F1149" s="102"/>
      <c r="G1149" s="122"/>
      <c r="H1149" s="10"/>
      <c r="I1149" s="10"/>
    </row>
    <row r="1150" spans="2:9" ht="15.75">
      <c r="B1150" s="111"/>
      <c r="C1150" s="111"/>
      <c r="D1150" s="102"/>
      <c r="E1150" s="130"/>
      <c r="F1150" s="102"/>
      <c r="G1150" s="122"/>
      <c r="H1150" s="10"/>
      <c r="I1150" s="10"/>
    </row>
    <row r="1151" spans="2:9" ht="15.75">
      <c r="B1151" s="111"/>
      <c r="C1151" s="111"/>
      <c r="D1151" s="102"/>
      <c r="E1151" s="130"/>
      <c r="F1151" s="102"/>
      <c r="G1151" s="122"/>
      <c r="H1151" s="10"/>
      <c r="I1151" s="10"/>
    </row>
    <row r="1152" spans="2:9" ht="15.75">
      <c r="B1152" s="111"/>
      <c r="C1152" s="111"/>
      <c r="D1152" s="102"/>
      <c r="E1152" s="130"/>
      <c r="F1152" s="102"/>
      <c r="G1152" s="122"/>
      <c r="H1152" s="10"/>
      <c r="I1152" s="10"/>
    </row>
    <row r="1153" spans="2:9" ht="15.75">
      <c r="B1153" s="111"/>
      <c r="C1153" s="111"/>
      <c r="D1153" s="102"/>
      <c r="E1153" s="130"/>
      <c r="F1153" s="102"/>
      <c r="G1153" s="122"/>
      <c r="H1153" s="10"/>
      <c r="I1153" s="10"/>
    </row>
    <row r="1154" spans="2:9" ht="15.75">
      <c r="B1154" s="111"/>
      <c r="C1154" s="111"/>
      <c r="D1154" s="102"/>
      <c r="E1154" s="130"/>
      <c r="F1154" s="102"/>
      <c r="G1154" s="122"/>
      <c r="H1154" s="10"/>
      <c r="I1154" s="10"/>
    </row>
    <row r="1155" spans="2:9" ht="15.75">
      <c r="B1155" s="111"/>
      <c r="C1155" s="111"/>
      <c r="D1155" s="102"/>
      <c r="E1155" s="130"/>
      <c r="F1155" s="102"/>
      <c r="G1155" s="122"/>
      <c r="H1155" s="10"/>
      <c r="I1155" s="10"/>
    </row>
    <row r="1156" spans="2:9" ht="15.75">
      <c r="B1156" s="111"/>
      <c r="C1156" s="111"/>
      <c r="D1156" s="102"/>
      <c r="E1156" s="130"/>
      <c r="F1156" s="102"/>
      <c r="G1156" s="122"/>
      <c r="H1156" s="10"/>
      <c r="I1156" s="10"/>
    </row>
    <row r="1157" spans="2:9" ht="15.75">
      <c r="B1157" s="111"/>
      <c r="C1157" s="111"/>
      <c r="D1157" s="102"/>
      <c r="E1157" s="130"/>
      <c r="F1157" s="102"/>
      <c r="G1157" s="122"/>
      <c r="H1157" s="10"/>
      <c r="I1157" s="10"/>
    </row>
    <row r="1158" spans="2:9" ht="15.75">
      <c r="B1158" s="111"/>
      <c r="C1158" s="111"/>
      <c r="D1158" s="102"/>
      <c r="E1158" s="130"/>
      <c r="F1158" s="102"/>
      <c r="G1158" s="122"/>
      <c r="H1158" s="10"/>
      <c r="I1158" s="10"/>
    </row>
    <row r="1159" spans="2:9" ht="15.75">
      <c r="B1159" s="111"/>
      <c r="C1159" s="111"/>
      <c r="D1159" s="102"/>
      <c r="E1159" s="130"/>
      <c r="F1159" s="102"/>
      <c r="G1159" s="122"/>
      <c r="H1159" s="10"/>
      <c r="I1159" s="10"/>
    </row>
    <row r="1160" spans="2:9" ht="15.75">
      <c r="B1160" s="111"/>
      <c r="C1160" s="111"/>
      <c r="D1160" s="102"/>
      <c r="E1160" s="130"/>
      <c r="F1160" s="102"/>
      <c r="G1160" s="122"/>
      <c r="H1160" s="10"/>
      <c r="I1160" s="10"/>
    </row>
    <row r="1161" spans="2:9" ht="15.75">
      <c r="B1161" s="111"/>
      <c r="C1161" s="111"/>
      <c r="D1161" s="102"/>
      <c r="E1161" s="130"/>
      <c r="F1161" s="102"/>
      <c r="G1161" s="122"/>
      <c r="H1161" s="10"/>
      <c r="I1161" s="10"/>
    </row>
    <row r="1162" spans="2:9" ht="15.75">
      <c r="B1162" s="111"/>
      <c r="C1162" s="111"/>
      <c r="D1162" s="102"/>
      <c r="E1162" s="130"/>
      <c r="F1162" s="102"/>
      <c r="G1162" s="122"/>
      <c r="H1162" s="10"/>
      <c r="I1162" s="10"/>
    </row>
    <row r="1163" spans="2:9" ht="15.75">
      <c r="B1163" s="111"/>
      <c r="C1163" s="111"/>
      <c r="D1163" s="102"/>
      <c r="E1163" s="130"/>
      <c r="F1163" s="102"/>
      <c r="G1163" s="122"/>
      <c r="H1163" s="10"/>
      <c r="I1163" s="10"/>
    </row>
    <row r="1164" spans="2:9" ht="15.75">
      <c r="B1164" s="111"/>
      <c r="C1164" s="111"/>
      <c r="D1164" s="102"/>
      <c r="E1164" s="130"/>
      <c r="F1164" s="102"/>
      <c r="G1164" s="122"/>
      <c r="H1164" s="10"/>
      <c r="I1164" s="10"/>
    </row>
    <row r="1165" spans="2:9" ht="15.75">
      <c r="B1165" s="111"/>
      <c r="C1165" s="111"/>
      <c r="D1165" s="102"/>
      <c r="E1165" s="130"/>
      <c r="F1165" s="102"/>
      <c r="G1165" s="122"/>
      <c r="H1165" s="10"/>
      <c r="I1165" s="10"/>
    </row>
    <row r="1166" spans="2:9" ht="15.75">
      <c r="B1166" s="111"/>
      <c r="C1166" s="111"/>
      <c r="D1166" s="102"/>
      <c r="E1166" s="130"/>
      <c r="F1166" s="102"/>
      <c r="G1166" s="122"/>
      <c r="H1166" s="10"/>
      <c r="I1166" s="10"/>
    </row>
    <row r="1167" spans="2:9" ht="15.75">
      <c r="B1167" s="111"/>
      <c r="C1167" s="111"/>
      <c r="D1167" s="102"/>
      <c r="E1167" s="130"/>
      <c r="F1167" s="102"/>
      <c r="G1167" s="122"/>
      <c r="H1167" s="10"/>
      <c r="I1167" s="10"/>
    </row>
    <row r="1168" spans="2:9" ht="15.75">
      <c r="B1168" s="111"/>
      <c r="C1168" s="111"/>
      <c r="D1168" s="102"/>
      <c r="E1168" s="130"/>
      <c r="F1168" s="102"/>
      <c r="G1168" s="122"/>
      <c r="H1168" s="10"/>
      <c r="I1168" s="10"/>
    </row>
    <row r="1169" spans="2:9" ht="15.75">
      <c r="B1169" s="111"/>
      <c r="C1169" s="111"/>
      <c r="D1169" s="102"/>
      <c r="E1169" s="130"/>
      <c r="F1169" s="102"/>
      <c r="G1169" s="122"/>
      <c r="H1169" s="10"/>
      <c r="I1169" s="10"/>
    </row>
    <row r="1170" spans="2:9" ht="15.75">
      <c r="B1170" s="111"/>
      <c r="C1170" s="111"/>
      <c r="D1170" s="102"/>
      <c r="E1170" s="130"/>
      <c r="F1170" s="102"/>
      <c r="G1170" s="122"/>
      <c r="H1170" s="10"/>
      <c r="I1170" s="10"/>
    </row>
    <row r="1171" spans="2:9" ht="15.75">
      <c r="B1171" s="111"/>
      <c r="C1171" s="111"/>
      <c r="D1171" s="102"/>
      <c r="E1171" s="130"/>
      <c r="F1171" s="102"/>
      <c r="G1171" s="122"/>
      <c r="H1171" s="10"/>
      <c r="I1171" s="10"/>
    </row>
    <row r="1172" spans="2:9" ht="15.75">
      <c r="B1172" s="111"/>
      <c r="C1172" s="111"/>
      <c r="D1172" s="102"/>
      <c r="E1172" s="130"/>
      <c r="F1172" s="102"/>
      <c r="G1172" s="122"/>
      <c r="H1172" s="10"/>
      <c r="I1172" s="10"/>
    </row>
    <row r="1173" spans="2:9" ht="15.75">
      <c r="B1173" s="111"/>
      <c r="C1173" s="111"/>
      <c r="D1173" s="102"/>
      <c r="E1173" s="130"/>
      <c r="F1173" s="102"/>
      <c r="G1173" s="122"/>
      <c r="H1173" s="10"/>
      <c r="I1173" s="10"/>
    </row>
    <row r="1174" spans="2:9" ht="15.75">
      <c r="B1174" s="111"/>
      <c r="C1174" s="111"/>
      <c r="D1174" s="102"/>
      <c r="E1174" s="130"/>
      <c r="F1174" s="102"/>
      <c r="G1174" s="122"/>
      <c r="H1174" s="10"/>
      <c r="I1174" s="10"/>
    </row>
    <row r="1175" spans="2:9" ht="15.75">
      <c r="B1175" s="111"/>
      <c r="C1175" s="111"/>
      <c r="D1175" s="102"/>
      <c r="E1175" s="130"/>
      <c r="F1175" s="102"/>
      <c r="G1175" s="122"/>
      <c r="H1175" s="10"/>
      <c r="I1175" s="10"/>
    </row>
    <row r="1176" spans="2:9" ht="15.75">
      <c r="B1176" s="111"/>
      <c r="C1176" s="111"/>
      <c r="D1176" s="102"/>
      <c r="E1176" s="130"/>
      <c r="F1176" s="102"/>
      <c r="G1176" s="122"/>
      <c r="H1176" s="10"/>
      <c r="I1176" s="10"/>
    </row>
    <row r="1177" spans="2:9" ht="15.75">
      <c r="B1177" s="111"/>
      <c r="C1177" s="111"/>
      <c r="D1177" s="102"/>
      <c r="E1177" s="130"/>
      <c r="F1177" s="102"/>
      <c r="G1177" s="122"/>
      <c r="H1177" s="10"/>
      <c r="I1177" s="10"/>
    </row>
    <row r="1178" spans="2:9" ht="15.75">
      <c r="B1178" s="111"/>
      <c r="C1178" s="111"/>
      <c r="D1178" s="102"/>
      <c r="E1178" s="130"/>
      <c r="F1178" s="102"/>
      <c r="G1178" s="122"/>
      <c r="H1178" s="10"/>
      <c r="I1178" s="10"/>
    </row>
    <row r="1179" spans="2:9" ht="15.75">
      <c r="B1179" s="111"/>
      <c r="C1179" s="111"/>
      <c r="D1179" s="102"/>
      <c r="E1179" s="130"/>
      <c r="F1179" s="102"/>
      <c r="G1179" s="122"/>
      <c r="H1179" s="10"/>
      <c r="I1179" s="10"/>
    </row>
    <row r="1180" spans="2:9" ht="15.75">
      <c r="B1180" s="111"/>
      <c r="C1180" s="111"/>
      <c r="D1180" s="102"/>
      <c r="E1180" s="130"/>
      <c r="F1180" s="102"/>
      <c r="G1180" s="122"/>
      <c r="H1180" s="10"/>
      <c r="I1180" s="10"/>
    </row>
    <row r="1181" spans="2:9" ht="15.75">
      <c r="B1181" s="111"/>
      <c r="C1181" s="111"/>
      <c r="D1181" s="102"/>
      <c r="E1181" s="130"/>
      <c r="F1181" s="102"/>
      <c r="G1181" s="122"/>
      <c r="H1181" s="10"/>
      <c r="I1181" s="10"/>
    </row>
    <row r="1182" spans="2:9" ht="15.75">
      <c r="B1182" s="111"/>
      <c r="C1182" s="111"/>
      <c r="D1182" s="102"/>
      <c r="E1182" s="130"/>
      <c r="F1182" s="102"/>
      <c r="G1182" s="122"/>
      <c r="H1182" s="10"/>
      <c r="I1182" s="10"/>
    </row>
    <row r="1183" spans="2:9" ht="15.75">
      <c r="B1183" s="111"/>
      <c r="C1183" s="111"/>
      <c r="D1183" s="102"/>
      <c r="E1183" s="130"/>
      <c r="F1183" s="102"/>
      <c r="G1183" s="122"/>
      <c r="H1183" s="10"/>
      <c r="I1183" s="10"/>
    </row>
    <row r="1184" spans="2:9" ht="15.75">
      <c r="B1184" s="111"/>
      <c r="C1184" s="111"/>
      <c r="D1184" s="102"/>
      <c r="E1184" s="130"/>
      <c r="F1184" s="102"/>
      <c r="G1184" s="122"/>
      <c r="H1184" s="10"/>
      <c r="I1184" s="10"/>
    </row>
    <row r="1185" spans="2:9" ht="15.75">
      <c r="B1185" s="111"/>
      <c r="C1185" s="111"/>
      <c r="D1185" s="102"/>
      <c r="E1185" s="130"/>
      <c r="F1185" s="102"/>
      <c r="G1185" s="122"/>
      <c r="H1185" s="10"/>
      <c r="I1185" s="10"/>
    </row>
    <row r="1186" spans="2:9" ht="15.75">
      <c r="B1186" s="111"/>
      <c r="C1186" s="111"/>
      <c r="D1186" s="102"/>
      <c r="E1186" s="130"/>
      <c r="F1186" s="102"/>
      <c r="G1186" s="122"/>
      <c r="H1186" s="10"/>
      <c r="I1186" s="10"/>
    </row>
    <row r="1187" spans="2:9" ht="15.75">
      <c r="B1187" s="111"/>
      <c r="C1187" s="111"/>
      <c r="D1187" s="102"/>
      <c r="E1187" s="130"/>
      <c r="F1187" s="102"/>
      <c r="G1187" s="122"/>
      <c r="H1187" s="10"/>
    </row>
    <row r="1188" spans="2:9" ht="15.75">
      <c r="B1188" s="111"/>
      <c r="C1188" s="111"/>
      <c r="D1188" s="102"/>
      <c r="E1188" s="130"/>
      <c r="F1188" s="102"/>
      <c r="G1188" s="122"/>
      <c r="H1188" s="10"/>
    </row>
    <row r="1189" spans="2:9" ht="15.75">
      <c r="B1189" s="111"/>
      <c r="C1189" s="111"/>
      <c r="D1189" s="102"/>
      <c r="E1189" s="130"/>
      <c r="F1189" s="102"/>
      <c r="G1189" s="122"/>
      <c r="H1189" s="10"/>
    </row>
    <row r="1190" spans="2:9" ht="15.75">
      <c r="B1190" s="111"/>
      <c r="C1190" s="111"/>
      <c r="D1190" s="102"/>
      <c r="E1190" s="130"/>
      <c r="F1190" s="102"/>
      <c r="G1190" s="122"/>
      <c r="H1190" s="10"/>
    </row>
    <row r="1191" spans="2:9" ht="15.75">
      <c r="B1191" s="111"/>
      <c r="C1191" s="111"/>
      <c r="D1191" s="102"/>
      <c r="E1191" s="130"/>
      <c r="F1191" s="102"/>
      <c r="G1191" s="122"/>
      <c r="H1191" s="10"/>
    </row>
    <row r="1192" spans="2:9" ht="15.75">
      <c r="B1192" s="111"/>
      <c r="C1192" s="111"/>
      <c r="D1192" s="102"/>
      <c r="E1192" s="130"/>
      <c r="F1192" s="102"/>
      <c r="G1192" s="122"/>
      <c r="H1192" s="10"/>
    </row>
    <row r="1193" spans="2:9" ht="15.75">
      <c r="B1193" s="111"/>
      <c r="C1193" s="111"/>
      <c r="D1193" s="102"/>
      <c r="E1193" s="130"/>
      <c r="F1193" s="102"/>
      <c r="G1193" s="122"/>
      <c r="H1193" s="10"/>
    </row>
    <row r="1194" spans="2:9" ht="15.75">
      <c r="B1194" s="111"/>
      <c r="C1194" s="111"/>
      <c r="D1194" s="102"/>
      <c r="E1194" s="130"/>
      <c r="F1194" s="102"/>
      <c r="G1194" s="122"/>
      <c r="H1194" s="10"/>
    </row>
    <row r="1195" spans="2:9" ht="15.75">
      <c r="B1195" s="111"/>
      <c r="C1195" s="111"/>
      <c r="D1195" s="102"/>
      <c r="E1195" s="130"/>
      <c r="F1195" s="102"/>
      <c r="G1195" s="122"/>
      <c r="H1195" s="10"/>
    </row>
    <row r="1196" spans="2:9" ht="15.75">
      <c r="B1196" s="111"/>
      <c r="C1196" s="111"/>
      <c r="D1196" s="102"/>
      <c r="E1196" s="130"/>
      <c r="F1196" s="102"/>
      <c r="G1196" s="122"/>
      <c r="H1196" s="10"/>
    </row>
    <row r="1197" spans="2:9" ht="15.75">
      <c r="B1197" s="111"/>
      <c r="C1197" s="111"/>
      <c r="D1197" s="102"/>
      <c r="E1197" s="130"/>
      <c r="F1197" s="102"/>
      <c r="G1197" s="122"/>
      <c r="H1197" s="10"/>
    </row>
    <row r="1198" spans="2:9" ht="15.75">
      <c r="B1198" s="111"/>
      <c r="C1198" s="111"/>
      <c r="D1198" s="102"/>
      <c r="E1198" s="130"/>
      <c r="F1198" s="102"/>
      <c r="G1198" s="122"/>
      <c r="H1198" s="10"/>
    </row>
    <row r="1199" spans="2:9" ht="15.75">
      <c r="B1199" s="111"/>
      <c r="C1199" s="111"/>
      <c r="D1199" s="102"/>
      <c r="E1199" s="130"/>
      <c r="F1199" s="102"/>
      <c r="G1199" s="122"/>
      <c r="H1199" s="10"/>
    </row>
    <row r="1200" spans="2:9" ht="15.75">
      <c r="B1200" s="111"/>
      <c r="C1200" s="111"/>
      <c r="D1200" s="102"/>
      <c r="E1200" s="130"/>
      <c r="F1200" s="102"/>
      <c r="G1200" s="122"/>
      <c r="H1200" s="10"/>
    </row>
    <row r="1201" spans="2:8" ht="15.75">
      <c r="B1201" s="111"/>
      <c r="C1201" s="111"/>
      <c r="D1201" s="102"/>
      <c r="E1201" s="130"/>
      <c r="F1201" s="102"/>
      <c r="G1201" s="122"/>
      <c r="H1201" s="10"/>
    </row>
    <row r="1202" spans="2:8" ht="15.75">
      <c r="B1202" s="111"/>
      <c r="C1202" s="111"/>
      <c r="D1202" s="102"/>
      <c r="E1202" s="130"/>
      <c r="F1202" s="102"/>
      <c r="G1202" s="122"/>
      <c r="H1202" s="10"/>
    </row>
    <row r="1203" spans="2:8" ht="15.75">
      <c r="B1203" s="111"/>
      <c r="C1203" s="111"/>
      <c r="D1203" s="102"/>
      <c r="E1203" s="130"/>
      <c r="F1203" s="102"/>
      <c r="G1203" s="122"/>
      <c r="H1203" s="10"/>
    </row>
    <row r="1204" spans="2:8" ht="15.75">
      <c r="B1204" s="111"/>
      <c r="C1204" s="111"/>
      <c r="D1204" s="102"/>
      <c r="E1204" s="130"/>
      <c r="F1204" s="102"/>
      <c r="G1204" s="122"/>
      <c r="H1204" s="10"/>
    </row>
    <row r="1205" spans="2:8" ht="15.75">
      <c r="B1205" s="111"/>
      <c r="C1205" s="111"/>
      <c r="D1205" s="102"/>
      <c r="E1205" s="130"/>
      <c r="F1205" s="102"/>
      <c r="G1205" s="122"/>
      <c r="H1205" s="10"/>
    </row>
    <row r="1206" spans="2:8" ht="15.75">
      <c r="B1206" s="111"/>
      <c r="C1206" s="111"/>
      <c r="D1206" s="102"/>
      <c r="E1206" s="130"/>
      <c r="F1206" s="102"/>
      <c r="G1206" s="122"/>
      <c r="H1206" s="10"/>
    </row>
    <row r="1207" spans="2:8" ht="15.75">
      <c r="B1207" s="111"/>
      <c r="C1207" s="111"/>
      <c r="D1207" s="102"/>
      <c r="E1207" s="130"/>
      <c r="F1207" s="102"/>
      <c r="G1207" s="122"/>
      <c r="H1207" s="10"/>
    </row>
    <row r="1208" spans="2:8" ht="15.75">
      <c r="B1208" s="111"/>
      <c r="C1208" s="111"/>
      <c r="D1208" s="102"/>
      <c r="E1208" s="130"/>
      <c r="F1208" s="102"/>
      <c r="G1208" s="122"/>
      <c r="H1208" s="10"/>
    </row>
    <row r="1209" spans="2:8" ht="15.75">
      <c r="B1209" s="111"/>
      <c r="C1209" s="111"/>
      <c r="D1209" s="102"/>
      <c r="E1209" s="130"/>
      <c r="F1209" s="102"/>
      <c r="G1209" s="122"/>
      <c r="H1209" s="10"/>
    </row>
    <row r="1210" spans="2:8" ht="15.75">
      <c r="B1210" s="111"/>
      <c r="C1210" s="111"/>
      <c r="D1210" s="102"/>
      <c r="E1210" s="130"/>
      <c r="F1210" s="102"/>
      <c r="G1210" s="122"/>
      <c r="H1210" s="10"/>
    </row>
    <row r="1211" spans="2:8" ht="15.75">
      <c r="B1211" s="111"/>
      <c r="C1211" s="111"/>
      <c r="D1211" s="102"/>
      <c r="E1211" s="130"/>
      <c r="F1211" s="102"/>
      <c r="G1211" s="122"/>
      <c r="H1211" s="10"/>
    </row>
    <row r="1212" spans="2:8" ht="15.75">
      <c r="B1212" s="111"/>
      <c r="C1212" s="111"/>
      <c r="D1212" s="102"/>
      <c r="E1212" s="130"/>
      <c r="F1212" s="102"/>
      <c r="G1212" s="122"/>
      <c r="H1212" s="10"/>
    </row>
    <row r="1213" spans="2:8" ht="15.75">
      <c r="B1213" s="111"/>
      <c r="C1213" s="111"/>
      <c r="D1213" s="102"/>
      <c r="E1213" s="130"/>
      <c r="F1213" s="102"/>
      <c r="G1213" s="122"/>
      <c r="H1213" s="10"/>
    </row>
    <row r="1214" spans="2:8" ht="15.75">
      <c r="B1214" s="111"/>
      <c r="C1214" s="111"/>
      <c r="D1214" s="102"/>
      <c r="E1214" s="130"/>
      <c r="F1214" s="102"/>
      <c r="G1214" s="122"/>
      <c r="H1214" s="10"/>
    </row>
    <row r="1215" spans="2:8" ht="15.75">
      <c r="B1215" s="111"/>
      <c r="C1215" s="111"/>
      <c r="D1215" s="102"/>
      <c r="E1215" s="130"/>
      <c r="F1215" s="102"/>
      <c r="G1215" s="122"/>
      <c r="H1215" s="10"/>
    </row>
    <row r="1216" spans="2:8" ht="15.75">
      <c r="B1216" s="111"/>
      <c r="C1216" s="111"/>
      <c r="D1216" s="102"/>
      <c r="E1216" s="130"/>
      <c r="F1216" s="102"/>
      <c r="G1216" s="122"/>
      <c r="H1216" s="10"/>
    </row>
    <row r="1217" spans="2:8" ht="15.75">
      <c r="B1217" s="111"/>
      <c r="C1217" s="111"/>
      <c r="D1217" s="102"/>
      <c r="E1217" s="130"/>
      <c r="F1217" s="102"/>
      <c r="G1217" s="122"/>
      <c r="H1217" s="10"/>
    </row>
    <row r="1218" spans="2:8" ht="15.75">
      <c r="B1218" s="111"/>
      <c r="C1218" s="111"/>
      <c r="D1218" s="102"/>
      <c r="E1218" s="130"/>
      <c r="F1218" s="102"/>
      <c r="G1218" s="122"/>
      <c r="H1218" s="10"/>
    </row>
    <row r="1219" spans="2:8" ht="15.75">
      <c r="B1219" s="111"/>
      <c r="C1219" s="111"/>
      <c r="D1219" s="102"/>
      <c r="E1219" s="130"/>
      <c r="F1219" s="102"/>
      <c r="G1219" s="122"/>
      <c r="H1219" s="10"/>
    </row>
    <row r="1220" spans="2:8" ht="15.75">
      <c r="B1220" s="111"/>
      <c r="C1220" s="111"/>
      <c r="D1220" s="102"/>
      <c r="E1220" s="130"/>
      <c r="F1220" s="102"/>
      <c r="G1220" s="122"/>
      <c r="H1220" s="10"/>
    </row>
    <row r="1221" spans="2:8" ht="15.75">
      <c r="B1221" s="111"/>
      <c r="C1221" s="111"/>
      <c r="D1221" s="102"/>
      <c r="E1221" s="130"/>
      <c r="F1221" s="102"/>
      <c r="G1221" s="122"/>
      <c r="H1221" s="10"/>
    </row>
    <row r="1222" spans="2:8" ht="15.75">
      <c r="B1222" s="111"/>
      <c r="C1222" s="111"/>
      <c r="D1222" s="102"/>
      <c r="E1222" s="130"/>
      <c r="F1222" s="102"/>
      <c r="G1222" s="122"/>
      <c r="H1222" s="10"/>
    </row>
    <row r="1223" spans="2:8" ht="15.75">
      <c r="B1223" s="111"/>
      <c r="C1223" s="111"/>
      <c r="D1223" s="102"/>
      <c r="E1223" s="130"/>
      <c r="F1223" s="102"/>
      <c r="G1223" s="122"/>
      <c r="H1223" s="10"/>
    </row>
    <row r="1224" spans="2:8" ht="15.75">
      <c r="B1224" s="111"/>
      <c r="C1224" s="111"/>
      <c r="D1224" s="102"/>
      <c r="E1224" s="130"/>
      <c r="F1224" s="102"/>
      <c r="G1224" s="122"/>
      <c r="H1224" s="10"/>
    </row>
    <row r="1225" spans="2:8" ht="15.75">
      <c r="B1225" s="111"/>
      <c r="C1225" s="111"/>
      <c r="D1225" s="102"/>
      <c r="E1225" s="130"/>
      <c r="F1225" s="102"/>
      <c r="G1225" s="122"/>
      <c r="H1225" s="10"/>
    </row>
    <row r="1226" spans="2:8" ht="15.75">
      <c r="B1226" s="111"/>
      <c r="C1226" s="111"/>
      <c r="D1226" s="102"/>
      <c r="E1226" s="130"/>
      <c r="F1226" s="102"/>
      <c r="G1226" s="122"/>
      <c r="H1226" s="10"/>
    </row>
    <row r="1227" spans="2:8" ht="15.75">
      <c r="B1227" s="111"/>
      <c r="C1227" s="111"/>
      <c r="D1227" s="102"/>
      <c r="E1227" s="130"/>
      <c r="F1227" s="102"/>
      <c r="G1227" s="122"/>
      <c r="H1227" s="10"/>
    </row>
    <row r="1228" spans="2:8" ht="15.75">
      <c r="B1228" s="111"/>
      <c r="C1228" s="111"/>
      <c r="D1228" s="102"/>
      <c r="E1228" s="130"/>
      <c r="F1228" s="102"/>
      <c r="G1228" s="122"/>
      <c r="H1228" s="10"/>
    </row>
    <row r="1229" spans="2:8" ht="15.75">
      <c r="B1229" s="111"/>
      <c r="C1229" s="111"/>
      <c r="D1229" s="102"/>
      <c r="E1229" s="130"/>
      <c r="F1229" s="102"/>
      <c r="G1229" s="122"/>
      <c r="H1229" s="10"/>
    </row>
    <row r="1230" spans="2:8" ht="15.75">
      <c r="B1230" s="111"/>
      <c r="C1230" s="111"/>
      <c r="D1230" s="102"/>
      <c r="E1230" s="130"/>
      <c r="F1230" s="102"/>
      <c r="G1230" s="122"/>
      <c r="H1230" s="10"/>
    </row>
    <row r="1231" spans="2:8" ht="15.75">
      <c r="B1231" s="111"/>
      <c r="C1231" s="111"/>
      <c r="D1231" s="102"/>
      <c r="E1231" s="130"/>
      <c r="F1231" s="102"/>
      <c r="G1231" s="122"/>
      <c r="H1231" s="10"/>
    </row>
    <row r="1232" spans="2:8" ht="15.75">
      <c r="B1232" s="111"/>
      <c r="C1232" s="111"/>
      <c r="D1232" s="102"/>
      <c r="E1232" s="130"/>
      <c r="F1232" s="102"/>
      <c r="G1232" s="122"/>
      <c r="H1232" s="10"/>
    </row>
    <row r="1233" spans="2:8" ht="15.75">
      <c r="B1233" s="111"/>
      <c r="C1233" s="111"/>
      <c r="D1233" s="102"/>
      <c r="E1233" s="130"/>
      <c r="F1233" s="102"/>
      <c r="G1233" s="122"/>
      <c r="H1233" s="10"/>
    </row>
    <row r="1234" spans="2:8" ht="15.75">
      <c r="B1234" s="111"/>
      <c r="C1234" s="111"/>
      <c r="D1234" s="102"/>
      <c r="E1234" s="130"/>
      <c r="F1234" s="102"/>
      <c r="G1234" s="122"/>
      <c r="H1234" s="10"/>
    </row>
    <row r="1235" spans="2:8" ht="15.75">
      <c r="B1235" s="111"/>
      <c r="C1235" s="111"/>
      <c r="D1235" s="102"/>
      <c r="E1235" s="130"/>
      <c r="F1235" s="102"/>
      <c r="G1235" s="122"/>
      <c r="H1235" s="10"/>
    </row>
    <row r="1236" spans="2:8" ht="15.75">
      <c r="B1236" s="111"/>
      <c r="C1236" s="111"/>
      <c r="D1236" s="102"/>
      <c r="E1236" s="130"/>
      <c r="F1236" s="102"/>
      <c r="G1236" s="122"/>
      <c r="H1236" s="10"/>
    </row>
    <row r="1237" spans="2:8" ht="15.75">
      <c r="B1237" s="111"/>
      <c r="C1237" s="111"/>
      <c r="D1237" s="102"/>
      <c r="E1237" s="130"/>
      <c r="F1237" s="102"/>
      <c r="G1237" s="122"/>
      <c r="H1237" s="10"/>
    </row>
    <row r="1238" spans="2:8" ht="15.75">
      <c r="B1238" s="111"/>
      <c r="C1238" s="111"/>
      <c r="D1238" s="102"/>
      <c r="E1238" s="130"/>
      <c r="F1238" s="102"/>
      <c r="G1238" s="122"/>
      <c r="H1238" s="10"/>
    </row>
    <row r="1239" spans="2:8" ht="15.75">
      <c r="B1239" s="111"/>
      <c r="C1239" s="111"/>
      <c r="D1239" s="102"/>
      <c r="E1239" s="130"/>
      <c r="F1239" s="102"/>
      <c r="G1239" s="122"/>
      <c r="H1239" s="10"/>
    </row>
    <row r="1240" spans="2:8" ht="15.75">
      <c r="B1240" s="111"/>
      <c r="C1240" s="111"/>
      <c r="D1240" s="102"/>
      <c r="E1240" s="130"/>
      <c r="F1240" s="102"/>
      <c r="G1240" s="122"/>
      <c r="H1240" s="10"/>
    </row>
    <row r="1241" spans="2:8" ht="15.75">
      <c r="B1241" s="111"/>
      <c r="C1241" s="111"/>
      <c r="D1241" s="102"/>
      <c r="E1241" s="130"/>
      <c r="F1241" s="102"/>
      <c r="G1241" s="122"/>
      <c r="H1241" s="10"/>
    </row>
    <row r="1242" spans="2:8" ht="15.75">
      <c r="B1242" s="111"/>
      <c r="C1242" s="111"/>
      <c r="D1242" s="102"/>
      <c r="E1242" s="130"/>
      <c r="F1242" s="102"/>
      <c r="G1242" s="122"/>
      <c r="H1242" s="10"/>
    </row>
    <row r="1243" spans="2:8" ht="15.75">
      <c r="B1243" s="111"/>
      <c r="C1243" s="111"/>
      <c r="D1243" s="102"/>
      <c r="E1243" s="130"/>
      <c r="F1243" s="102"/>
      <c r="G1243" s="122"/>
      <c r="H1243" s="10"/>
    </row>
    <row r="1244" spans="2:8" ht="15.75">
      <c r="B1244" s="111"/>
      <c r="C1244" s="111"/>
      <c r="D1244" s="102"/>
      <c r="E1244" s="130"/>
      <c r="F1244" s="102"/>
      <c r="G1244" s="122"/>
      <c r="H1244" s="10"/>
    </row>
    <row r="1245" spans="2:8" ht="15.75">
      <c r="B1245" s="111"/>
      <c r="C1245" s="111"/>
      <c r="D1245" s="102"/>
      <c r="E1245" s="130"/>
      <c r="F1245" s="102"/>
      <c r="G1245" s="122"/>
      <c r="H1245" s="10"/>
    </row>
    <row r="1246" spans="2:8" ht="15.75">
      <c r="B1246" s="111"/>
      <c r="C1246" s="111"/>
      <c r="D1246" s="102"/>
      <c r="E1246" s="130"/>
      <c r="F1246" s="102"/>
      <c r="G1246" s="122"/>
      <c r="H1246" s="10"/>
    </row>
    <row r="1247" spans="2:8" ht="15.75">
      <c r="B1247" s="111"/>
      <c r="C1247" s="111"/>
      <c r="D1247" s="102"/>
      <c r="E1247" s="130"/>
      <c r="F1247" s="102"/>
      <c r="G1247" s="122"/>
      <c r="H1247" s="10"/>
    </row>
    <row r="1248" spans="2:8" ht="15.75">
      <c r="B1248" s="111"/>
      <c r="C1248" s="111"/>
      <c r="D1248" s="102"/>
      <c r="E1248" s="130"/>
      <c r="F1248" s="102"/>
      <c r="G1248" s="122"/>
      <c r="H1248" s="10"/>
    </row>
    <row r="1249" spans="2:8" ht="15.75">
      <c r="B1249" s="111"/>
      <c r="C1249" s="111"/>
      <c r="D1249" s="102"/>
      <c r="E1249" s="130"/>
      <c r="F1249" s="102"/>
      <c r="G1249" s="122"/>
      <c r="H1249" s="10"/>
    </row>
    <row r="1250" spans="2:8" ht="15.75">
      <c r="B1250" s="111"/>
      <c r="C1250" s="111"/>
      <c r="D1250" s="102"/>
      <c r="E1250" s="130"/>
      <c r="F1250" s="102"/>
      <c r="G1250" s="122"/>
      <c r="H1250" s="10"/>
    </row>
    <row r="1251" spans="2:8" ht="15.75">
      <c r="B1251" s="111"/>
      <c r="C1251" s="111"/>
      <c r="D1251" s="102"/>
      <c r="E1251" s="130"/>
      <c r="F1251" s="102"/>
      <c r="G1251" s="122"/>
      <c r="H1251" s="10"/>
    </row>
    <row r="1252" spans="2:8" ht="15.75">
      <c r="B1252" s="111"/>
      <c r="C1252" s="111"/>
      <c r="D1252" s="102"/>
      <c r="E1252" s="130"/>
      <c r="F1252" s="102"/>
      <c r="G1252" s="122"/>
      <c r="H1252" s="10"/>
    </row>
    <row r="1253" spans="2:8" ht="15.75">
      <c r="B1253" s="111"/>
      <c r="C1253" s="111"/>
      <c r="D1253" s="102"/>
      <c r="E1253" s="130"/>
      <c r="F1253" s="102"/>
      <c r="G1253" s="122"/>
      <c r="H1253" s="10"/>
    </row>
    <row r="1254" spans="2:8" ht="15.75">
      <c r="B1254" s="111"/>
      <c r="C1254" s="111"/>
      <c r="D1254" s="102"/>
      <c r="E1254" s="130"/>
      <c r="F1254" s="102"/>
      <c r="G1254" s="122"/>
      <c r="H1254" s="10"/>
    </row>
    <row r="1255" spans="2:8" ht="15.75">
      <c r="B1255" s="111"/>
      <c r="C1255" s="111"/>
      <c r="D1255" s="102"/>
      <c r="E1255" s="130"/>
      <c r="F1255" s="102"/>
      <c r="G1255" s="122"/>
      <c r="H1255" s="10"/>
    </row>
    <row r="1256" spans="2:8" ht="15.75">
      <c r="B1256" s="111"/>
      <c r="C1256" s="111"/>
      <c r="D1256" s="102"/>
      <c r="E1256" s="130"/>
      <c r="F1256" s="102"/>
      <c r="G1256" s="122"/>
      <c r="H1256" s="10"/>
    </row>
    <row r="1257" spans="2:8" ht="15.75">
      <c r="B1257" s="111"/>
      <c r="C1257" s="111"/>
      <c r="D1257" s="102"/>
      <c r="E1257" s="130"/>
      <c r="F1257" s="102"/>
      <c r="G1257" s="122"/>
      <c r="H1257" s="10"/>
    </row>
    <row r="1258" spans="2:8" ht="15.75">
      <c r="B1258" s="111"/>
      <c r="C1258" s="111"/>
      <c r="D1258" s="102"/>
      <c r="E1258" s="130"/>
      <c r="F1258" s="102"/>
      <c r="G1258" s="122"/>
      <c r="H1258" s="10"/>
    </row>
    <row r="1259" spans="2:8" ht="15.75">
      <c r="B1259" s="111"/>
      <c r="C1259" s="111"/>
      <c r="D1259" s="102"/>
      <c r="E1259" s="130"/>
      <c r="F1259" s="102"/>
      <c r="G1259" s="122"/>
      <c r="H1259" s="10"/>
    </row>
    <row r="1260" spans="2:8" ht="15.75">
      <c r="B1260" s="111"/>
      <c r="C1260" s="111"/>
      <c r="D1260" s="102"/>
      <c r="E1260" s="130"/>
      <c r="F1260" s="102"/>
      <c r="G1260" s="122"/>
      <c r="H1260" s="10"/>
    </row>
    <row r="1261" spans="2:8" ht="15.75">
      <c r="B1261" s="111"/>
      <c r="C1261" s="111"/>
      <c r="D1261" s="102"/>
      <c r="E1261" s="130"/>
      <c r="F1261" s="102"/>
      <c r="G1261" s="122"/>
      <c r="H1261" s="10"/>
    </row>
    <row r="1262" spans="2:8" ht="15.75">
      <c r="B1262" s="111"/>
      <c r="C1262" s="111"/>
      <c r="D1262" s="102"/>
      <c r="E1262" s="130"/>
      <c r="F1262" s="102"/>
      <c r="G1262" s="122"/>
      <c r="H1262" s="10"/>
    </row>
    <row r="1263" spans="2:8" ht="15.75">
      <c r="B1263" s="111"/>
      <c r="C1263" s="111"/>
      <c r="D1263" s="102"/>
      <c r="E1263" s="130"/>
      <c r="F1263" s="102"/>
      <c r="G1263" s="122"/>
      <c r="H1263" s="10"/>
    </row>
    <row r="1264" spans="2:8" ht="15.75">
      <c r="B1264" s="111"/>
      <c r="C1264" s="111"/>
      <c r="D1264" s="102"/>
      <c r="E1264" s="130"/>
      <c r="F1264" s="102"/>
      <c r="G1264" s="122"/>
      <c r="H1264" s="10"/>
    </row>
    <row r="1265" spans="2:8" ht="15.75">
      <c r="B1265" s="111"/>
      <c r="C1265" s="111"/>
      <c r="D1265" s="102"/>
      <c r="E1265" s="130"/>
      <c r="F1265" s="102"/>
      <c r="G1265" s="122"/>
      <c r="H1265" s="10"/>
    </row>
    <row r="1266" spans="2:8" ht="15.75">
      <c r="B1266" s="111"/>
      <c r="C1266" s="111"/>
      <c r="D1266" s="102"/>
      <c r="E1266" s="130"/>
      <c r="F1266" s="102"/>
      <c r="G1266" s="122"/>
      <c r="H1266" s="10"/>
    </row>
    <row r="1267" spans="2:8" ht="15.75">
      <c r="B1267" s="111"/>
      <c r="C1267" s="111"/>
      <c r="D1267" s="102"/>
      <c r="E1267" s="130"/>
      <c r="F1267" s="102"/>
      <c r="G1267" s="122"/>
      <c r="H1267" s="10"/>
    </row>
    <row r="1268" spans="2:8" ht="15.75">
      <c r="B1268" s="111"/>
      <c r="C1268" s="111"/>
      <c r="D1268" s="102"/>
      <c r="E1268" s="130"/>
      <c r="F1268" s="102"/>
      <c r="G1268" s="122"/>
      <c r="H1268" s="10"/>
    </row>
    <row r="1269" spans="2:8" ht="15.75">
      <c r="B1269" s="111"/>
      <c r="C1269" s="111"/>
      <c r="D1269" s="102"/>
      <c r="E1269" s="130"/>
      <c r="F1269" s="102"/>
      <c r="G1269" s="122"/>
      <c r="H1269" s="10"/>
    </row>
    <row r="1270" spans="2:8" ht="15.75">
      <c r="B1270" s="111"/>
      <c r="C1270" s="111"/>
      <c r="D1270" s="102"/>
      <c r="E1270" s="130"/>
      <c r="F1270" s="102"/>
      <c r="G1270" s="122"/>
      <c r="H1270" s="10"/>
    </row>
    <row r="1271" spans="2:8" ht="15.75">
      <c r="B1271" s="111"/>
      <c r="C1271" s="111"/>
      <c r="D1271" s="102"/>
      <c r="E1271" s="130"/>
      <c r="F1271" s="102"/>
      <c r="G1271" s="122"/>
      <c r="H1271" s="10"/>
    </row>
    <row r="1272" spans="2:8" ht="15.75">
      <c r="B1272" s="111"/>
      <c r="C1272" s="111"/>
      <c r="D1272" s="102"/>
      <c r="E1272" s="130"/>
      <c r="F1272" s="102"/>
      <c r="G1272" s="122"/>
      <c r="H1272" s="10"/>
    </row>
    <row r="1273" spans="2:8" ht="15.75">
      <c r="B1273" s="111"/>
      <c r="C1273" s="111"/>
      <c r="D1273" s="102"/>
      <c r="E1273" s="130"/>
      <c r="F1273" s="102"/>
      <c r="G1273" s="122"/>
      <c r="H1273" s="10"/>
    </row>
    <row r="1274" spans="2:8" ht="15.75">
      <c r="B1274" s="111"/>
      <c r="C1274" s="111"/>
      <c r="D1274" s="102"/>
      <c r="E1274" s="130"/>
      <c r="F1274" s="102"/>
      <c r="G1274" s="122"/>
      <c r="H1274" s="10"/>
    </row>
    <row r="1275" spans="2:8" ht="15.75">
      <c r="B1275" s="111"/>
      <c r="C1275" s="111"/>
      <c r="D1275" s="102"/>
      <c r="E1275" s="130"/>
      <c r="F1275" s="102"/>
      <c r="G1275" s="122"/>
      <c r="H1275" s="10"/>
    </row>
    <row r="1276" spans="2:8" ht="15.75">
      <c r="B1276" s="111"/>
      <c r="C1276" s="111"/>
      <c r="D1276" s="102"/>
      <c r="E1276" s="130"/>
      <c r="F1276" s="102"/>
      <c r="G1276" s="122"/>
      <c r="H1276" s="10"/>
    </row>
    <row r="1277" spans="2:8" ht="15.75">
      <c r="B1277" s="111"/>
      <c r="C1277" s="111"/>
      <c r="D1277" s="102"/>
      <c r="E1277" s="130"/>
      <c r="F1277" s="102"/>
      <c r="G1277" s="122"/>
      <c r="H1277" s="10"/>
    </row>
    <row r="1278" spans="2:8" ht="15.75">
      <c r="B1278" s="111"/>
      <c r="C1278" s="111"/>
      <c r="D1278" s="102"/>
      <c r="E1278" s="130"/>
      <c r="F1278" s="102"/>
      <c r="G1278" s="122"/>
      <c r="H1278" s="10"/>
    </row>
    <row r="1279" spans="2:8" ht="15.75">
      <c r="B1279" s="111"/>
      <c r="C1279" s="111"/>
      <c r="D1279" s="102"/>
      <c r="E1279" s="130"/>
      <c r="F1279" s="102"/>
      <c r="G1279" s="122"/>
      <c r="H1279" s="10"/>
    </row>
    <row r="1280" spans="2:8" ht="15.75">
      <c r="B1280" s="111"/>
      <c r="C1280" s="111"/>
      <c r="D1280" s="102"/>
      <c r="E1280" s="130"/>
      <c r="F1280" s="102"/>
      <c r="G1280" s="122"/>
      <c r="H1280" s="10"/>
    </row>
    <row r="1281" spans="2:8" ht="15.75">
      <c r="B1281" s="111"/>
      <c r="C1281" s="111"/>
      <c r="D1281" s="102"/>
      <c r="E1281" s="130"/>
      <c r="F1281" s="102"/>
      <c r="G1281" s="122"/>
      <c r="H1281" s="10"/>
    </row>
    <row r="1282" spans="2:8" ht="15.75">
      <c r="B1282" s="111"/>
      <c r="C1282" s="111"/>
      <c r="D1282" s="102"/>
      <c r="E1282" s="130"/>
      <c r="F1282" s="102"/>
      <c r="G1282" s="122"/>
      <c r="H1282" s="10"/>
    </row>
    <row r="1283" spans="2:8" ht="15.75">
      <c r="B1283" s="111"/>
      <c r="C1283" s="111"/>
      <c r="D1283" s="102"/>
      <c r="E1283" s="130"/>
      <c r="F1283" s="102"/>
      <c r="G1283" s="122"/>
      <c r="H1283" s="10"/>
    </row>
    <row r="1284" spans="2:8" ht="15.75">
      <c r="B1284" s="111"/>
      <c r="C1284" s="111"/>
      <c r="D1284" s="102"/>
      <c r="E1284" s="130"/>
      <c r="F1284" s="102"/>
      <c r="G1284" s="122"/>
      <c r="H1284" s="10"/>
    </row>
    <row r="1285" spans="2:8" ht="15.75">
      <c r="B1285" s="111"/>
      <c r="C1285" s="111"/>
      <c r="D1285" s="102"/>
      <c r="E1285" s="130"/>
      <c r="F1285" s="102"/>
      <c r="G1285" s="122"/>
      <c r="H1285" s="10"/>
    </row>
    <row r="1286" spans="2:8" ht="15.75">
      <c r="B1286" s="111"/>
      <c r="C1286" s="111"/>
      <c r="D1286" s="102"/>
      <c r="E1286" s="130"/>
      <c r="F1286" s="102"/>
      <c r="G1286" s="122"/>
      <c r="H1286" s="10"/>
    </row>
    <row r="1287" spans="2:8" ht="15.75">
      <c r="B1287" s="111"/>
      <c r="C1287" s="111"/>
      <c r="D1287" s="102"/>
      <c r="E1287" s="130"/>
      <c r="F1287" s="102"/>
      <c r="G1287" s="122"/>
      <c r="H1287" s="10"/>
    </row>
    <row r="1288" spans="2:8" ht="15.75">
      <c r="B1288" s="111"/>
      <c r="C1288" s="111"/>
      <c r="D1288" s="102"/>
      <c r="E1288" s="130"/>
      <c r="F1288" s="102"/>
      <c r="G1288" s="122"/>
      <c r="H1288" s="10"/>
    </row>
    <row r="1289" spans="2:8" ht="15.75">
      <c r="B1289" s="111"/>
      <c r="C1289" s="111"/>
      <c r="D1289" s="102"/>
      <c r="E1289" s="130"/>
      <c r="F1289" s="102"/>
      <c r="G1289" s="122"/>
      <c r="H1289" s="10"/>
    </row>
    <row r="1290" spans="2:8" ht="15.75">
      <c r="B1290" s="111"/>
      <c r="C1290" s="111"/>
      <c r="D1290" s="102"/>
      <c r="E1290" s="130"/>
      <c r="F1290" s="102"/>
      <c r="G1290" s="122"/>
      <c r="H1290" s="10"/>
    </row>
    <row r="1291" spans="2:8" ht="15.75">
      <c r="B1291" s="111"/>
      <c r="C1291" s="111"/>
      <c r="D1291" s="102"/>
      <c r="E1291" s="130"/>
      <c r="F1291" s="102"/>
      <c r="G1291" s="122"/>
      <c r="H1291" s="10"/>
    </row>
    <row r="1292" spans="2:8" ht="15.75">
      <c r="B1292" s="111"/>
      <c r="C1292" s="111"/>
      <c r="D1292" s="102"/>
      <c r="E1292" s="130"/>
      <c r="F1292" s="102"/>
      <c r="G1292" s="122"/>
      <c r="H1292" s="10"/>
    </row>
    <row r="1293" spans="2:8" ht="15.75">
      <c r="B1293" s="111"/>
      <c r="C1293" s="111"/>
      <c r="D1293" s="102"/>
      <c r="E1293" s="130"/>
      <c r="F1293" s="102"/>
      <c r="G1293" s="122"/>
      <c r="H1293" s="10"/>
    </row>
    <row r="1294" spans="2:8" ht="15.75">
      <c r="B1294" s="111"/>
      <c r="C1294" s="111"/>
      <c r="D1294" s="102"/>
      <c r="E1294" s="130"/>
      <c r="F1294" s="102"/>
      <c r="G1294" s="122"/>
      <c r="H1294" s="10"/>
    </row>
    <row r="1295" spans="2:8" ht="15.75">
      <c r="B1295" s="111"/>
      <c r="C1295" s="111"/>
      <c r="D1295" s="102"/>
      <c r="E1295" s="130"/>
      <c r="F1295" s="102"/>
      <c r="G1295" s="122"/>
      <c r="H1295" s="10"/>
    </row>
    <row r="1296" spans="2:8" ht="15.75">
      <c r="B1296" s="111"/>
      <c r="C1296" s="111"/>
      <c r="D1296" s="102"/>
      <c r="E1296" s="130"/>
      <c r="F1296" s="102"/>
      <c r="G1296" s="122"/>
      <c r="H1296" s="10"/>
    </row>
    <row r="1297" spans="2:8" ht="15.75">
      <c r="B1297" s="111"/>
      <c r="C1297" s="111"/>
      <c r="D1297" s="102"/>
      <c r="E1297" s="130"/>
      <c r="F1297" s="102"/>
      <c r="G1297" s="122"/>
      <c r="H1297" s="10"/>
    </row>
    <row r="1298" spans="2:8" ht="15.75">
      <c r="B1298" s="111"/>
      <c r="C1298" s="111"/>
      <c r="D1298" s="102"/>
      <c r="E1298" s="130"/>
      <c r="F1298" s="102"/>
      <c r="G1298" s="122"/>
      <c r="H1298" s="10"/>
    </row>
    <row r="1299" spans="2:8" ht="15.75">
      <c r="B1299" s="111"/>
      <c r="C1299" s="111"/>
      <c r="D1299" s="102"/>
      <c r="E1299" s="130"/>
      <c r="F1299" s="102"/>
      <c r="G1299" s="122"/>
      <c r="H1299" s="10"/>
    </row>
    <row r="1300" spans="2:8" ht="15.75">
      <c r="B1300" s="111"/>
      <c r="C1300" s="111"/>
      <c r="D1300" s="102"/>
      <c r="E1300" s="130"/>
      <c r="F1300" s="102"/>
      <c r="G1300" s="122"/>
      <c r="H1300" s="10"/>
    </row>
    <row r="1301" spans="2:8" ht="15.75">
      <c r="B1301" s="111"/>
      <c r="C1301" s="111"/>
      <c r="D1301" s="102"/>
      <c r="E1301" s="130"/>
      <c r="F1301" s="102"/>
      <c r="G1301" s="122"/>
      <c r="H1301" s="10"/>
    </row>
    <row r="1302" spans="2:8" ht="15.75">
      <c r="B1302" s="111"/>
      <c r="C1302" s="111"/>
      <c r="D1302" s="102"/>
      <c r="E1302" s="130"/>
      <c r="F1302" s="102"/>
      <c r="G1302" s="122"/>
      <c r="H1302" s="10"/>
    </row>
    <row r="1303" spans="2:8" ht="15.75">
      <c r="B1303" s="111"/>
      <c r="C1303" s="111"/>
      <c r="D1303" s="102"/>
      <c r="E1303" s="130"/>
      <c r="F1303" s="102"/>
      <c r="G1303" s="122"/>
      <c r="H1303" s="10"/>
    </row>
    <row r="1304" spans="2:8" ht="15.75">
      <c r="B1304" s="111"/>
      <c r="C1304" s="111"/>
      <c r="D1304" s="102"/>
      <c r="E1304" s="130"/>
      <c r="F1304" s="102"/>
      <c r="G1304" s="122"/>
      <c r="H1304" s="10"/>
    </row>
    <row r="1305" spans="2:8" ht="15.75">
      <c r="B1305" s="111"/>
      <c r="C1305" s="111"/>
      <c r="D1305" s="102"/>
      <c r="E1305" s="130"/>
      <c r="F1305" s="102"/>
      <c r="G1305" s="122"/>
      <c r="H1305" s="10"/>
    </row>
    <row r="1306" spans="2:8" ht="15.75">
      <c r="B1306" s="111"/>
      <c r="C1306" s="111"/>
      <c r="D1306" s="102"/>
      <c r="E1306" s="130"/>
      <c r="F1306" s="102"/>
      <c r="G1306" s="122"/>
      <c r="H1306" s="10"/>
    </row>
    <row r="1307" spans="2:8" ht="15.75">
      <c r="B1307" s="111"/>
      <c r="C1307" s="111"/>
      <c r="D1307" s="102"/>
      <c r="E1307" s="130"/>
      <c r="F1307" s="102"/>
      <c r="G1307" s="122"/>
      <c r="H1307" s="10"/>
    </row>
    <row r="1308" spans="2:8" ht="15.75">
      <c r="B1308" s="111"/>
      <c r="C1308" s="111"/>
      <c r="D1308" s="102"/>
      <c r="E1308" s="130"/>
      <c r="F1308" s="102"/>
      <c r="G1308" s="122"/>
      <c r="H1308" s="10"/>
    </row>
    <row r="1309" spans="2:8" ht="15.75">
      <c r="B1309" s="111"/>
      <c r="C1309" s="111"/>
      <c r="D1309" s="102"/>
      <c r="E1309" s="130"/>
      <c r="F1309" s="102"/>
      <c r="G1309" s="122"/>
      <c r="H1309" s="10"/>
    </row>
    <row r="1310" spans="2:8" ht="15.75">
      <c r="B1310" s="111"/>
      <c r="C1310" s="111"/>
      <c r="D1310" s="102"/>
      <c r="E1310" s="130"/>
      <c r="F1310" s="102"/>
      <c r="G1310" s="122"/>
      <c r="H1310" s="10"/>
    </row>
    <row r="1311" spans="2:8" ht="15.75">
      <c r="B1311" s="111"/>
      <c r="C1311" s="111"/>
      <c r="D1311" s="102"/>
      <c r="E1311" s="130"/>
      <c r="F1311" s="102"/>
      <c r="G1311" s="122"/>
      <c r="H1311" s="10"/>
    </row>
    <row r="1312" spans="2:8" ht="15.75">
      <c r="B1312" s="111"/>
      <c r="C1312" s="111"/>
      <c r="D1312" s="102"/>
      <c r="E1312" s="130"/>
      <c r="F1312" s="102"/>
      <c r="G1312" s="122"/>
      <c r="H1312" s="10"/>
    </row>
    <row r="1313" spans="2:8" ht="15.75">
      <c r="B1313" s="111"/>
      <c r="C1313" s="111"/>
      <c r="D1313" s="102"/>
      <c r="E1313" s="130"/>
      <c r="F1313" s="102"/>
      <c r="G1313" s="122"/>
      <c r="H1313" s="10"/>
    </row>
    <row r="1314" spans="2:8" ht="15.75">
      <c r="B1314" s="111"/>
      <c r="C1314" s="111"/>
      <c r="D1314" s="102"/>
      <c r="E1314" s="130"/>
      <c r="F1314" s="102"/>
      <c r="G1314" s="122"/>
      <c r="H1314" s="10"/>
    </row>
    <row r="1315" spans="2:8" ht="15.75">
      <c r="B1315" s="111"/>
      <c r="C1315" s="111"/>
      <c r="D1315" s="102"/>
      <c r="E1315" s="130"/>
      <c r="F1315" s="102"/>
      <c r="G1315" s="122"/>
      <c r="H1315" s="10"/>
    </row>
    <row r="1316" spans="2:8" ht="15.75">
      <c r="B1316" s="111"/>
      <c r="C1316" s="111"/>
      <c r="D1316" s="102"/>
      <c r="E1316" s="130"/>
      <c r="F1316" s="102"/>
      <c r="G1316" s="122"/>
      <c r="H1316" s="10"/>
    </row>
    <row r="1317" spans="2:8" ht="15.75">
      <c r="B1317" s="111"/>
      <c r="C1317" s="111"/>
      <c r="D1317" s="102"/>
      <c r="E1317" s="130"/>
      <c r="F1317" s="102"/>
      <c r="G1317" s="122"/>
      <c r="H1317" s="10"/>
    </row>
    <row r="1318" spans="2:8" ht="15.75">
      <c r="B1318" s="111"/>
      <c r="C1318" s="111"/>
      <c r="D1318" s="102"/>
      <c r="E1318" s="130"/>
      <c r="F1318" s="102"/>
      <c r="G1318" s="122"/>
      <c r="H1318" s="10"/>
    </row>
    <row r="1319" spans="2:8" ht="15.75">
      <c r="B1319" s="111"/>
      <c r="C1319" s="111"/>
      <c r="D1319" s="102"/>
      <c r="E1319" s="130"/>
      <c r="F1319" s="102"/>
      <c r="G1319" s="122"/>
      <c r="H1319" s="10"/>
    </row>
    <row r="1320" spans="2:8" ht="15.75">
      <c r="B1320" s="111"/>
      <c r="C1320" s="111"/>
      <c r="D1320" s="102"/>
      <c r="E1320" s="130"/>
      <c r="F1320" s="102"/>
      <c r="G1320" s="122"/>
      <c r="H1320" s="10"/>
    </row>
    <row r="1321" spans="2:8" ht="15.75">
      <c r="B1321" s="111"/>
      <c r="C1321" s="111"/>
      <c r="D1321" s="102"/>
      <c r="E1321" s="130"/>
      <c r="F1321" s="102"/>
      <c r="G1321" s="122"/>
      <c r="H1321" s="10"/>
    </row>
    <row r="1322" spans="2:8" ht="15.75">
      <c r="B1322" s="111"/>
      <c r="C1322" s="111"/>
      <c r="D1322" s="102"/>
      <c r="E1322" s="130"/>
      <c r="F1322" s="102"/>
      <c r="G1322" s="122"/>
      <c r="H1322" s="10"/>
    </row>
    <row r="1323" spans="2:8" ht="15.75">
      <c r="B1323" s="111"/>
      <c r="C1323" s="111"/>
      <c r="D1323" s="102"/>
      <c r="E1323" s="130"/>
      <c r="F1323" s="102"/>
      <c r="G1323" s="122"/>
      <c r="H1323" s="10"/>
    </row>
    <row r="1324" spans="2:8" ht="15.75">
      <c r="B1324" s="111"/>
      <c r="C1324" s="111"/>
      <c r="D1324" s="102"/>
      <c r="E1324" s="130"/>
      <c r="F1324" s="102"/>
      <c r="G1324" s="122"/>
      <c r="H1324" s="10"/>
    </row>
    <row r="1325" spans="2:8" ht="15.75">
      <c r="B1325" s="111"/>
      <c r="C1325" s="111"/>
      <c r="D1325" s="102"/>
      <c r="E1325" s="130"/>
      <c r="F1325" s="102"/>
      <c r="G1325" s="122"/>
      <c r="H1325" s="10"/>
    </row>
    <row r="1326" spans="2:8" ht="15.75">
      <c r="B1326" s="111"/>
      <c r="C1326" s="111"/>
      <c r="D1326" s="102"/>
      <c r="E1326" s="130"/>
      <c r="F1326" s="102"/>
      <c r="G1326" s="122"/>
      <c r="H1326" s="10"/>
    </row>
    <row r="1327" spans="2:8" ht="15.75">
      <c r="B1327" s="111"/>
      <c r="C1327" s="111"/>
      <c r="D1327" s="102"/>
      <c r="E1327" s="130"/>
      <c r="F1327" s="102"/>
      <c r="G1327" s="122"/>
      <c r="H1327" s="10"/>
    </row>
    <row r="1328" spans="2:8" ht="15.75">
      <c r="B1328" s="111"/>
      <c r="C1328" s="111"/>
      <c r="D1328" s="102"/>
      <c r="E1328" s="130"/>
      <c r="F1328" s="102"/>
      <c r="G1328" s="122"/>
      <c r="H1328" s="10"/>
    </row>
    <row r="1329" spans="2:8" ht="15.75">
      <c r="B1329" s="111"/>
      <c r="C1329" s="111"/>
      <c r="D1329" s="102"/>
      <c r="E1329" s="130"/>
      <c r="F1329" s="102"/>
      <c r="G1329" s="122"/>
      <c r="H1329" s="10"/>
    </row>
    <row r="1330" spans="2:8" ht="15.75">
      <c r="B1330" s="111"/>
      <c r="C1330" s="111"/>
      <c r="D1330" s="102"/>
      <c r="E1330" s="130"/>
      <c r="F1330" s="102"/>
      <c r="G1330" s="122"/>
      <c r="H1330" s="10"/>
    </row>
    <row r="1331" spans="2:8" ht="15.75">
      <c r="B1331" s="111"/>
      <c r="C1331" s="111"/>
      <c r="D1331" s="102"/>
      <c r="E1331" s="130"/>
      <c r="F1331" s="102"/>
      <c r="G1331" s="122"/>
      <c r="H1331" s="10"/>
    </row>
    <row r="1332" spans="2:8" ht="15.75">
      <c r="B1332" s="111"/>
      <c r="C1332" s="111"/>
      <c r="D1332" s="102"/>
      <c r="E1332" s="130"/>
      <c r="F1332" s="102"/>
      <c r="G1332" s="122"/>
      <c r="H1332" s="10"/>
    </row>
    <row r="1333" spans="2:8" ht="15.75">
      <c r="B1333" s="111"/>
      <c r="C1333" s="111"/>
      <c r="D1333" s="102"/>
      <c r="E1333" s="130"/>
      <c r="F1333" s="102"/>
      <c r="G1333" s="122"/>
      <c r="H1333" s="10"/>
    </row>
    <row r="1334" spans="2:8" ht="15.75">
      <c r="B1334" s="111"/>
      <c r="C1334" s="111"/>
      <c r="D1334" s="102"/>
      <c r="E1334" s="130"/>
      <c r="F1334" s="102"/>
      <c r="G1334" s="122"/>
      <c r="H1334" s="10"/>
    </row>
    <row r="1335" spans="2:8" ht="15.75">
      <c r="B1335" s="111"/>
      <c r="C1335" s="111"/>
      <c r="D1335" s="102"/>
      <c r="E1335" s="130"/>
      <c r="F1335" s="102"/>
      <c r="G1335" s="122"/>
      <c r="H1335" s="10"/>
    </row>
    <row r="1336" spans="2:8" ht="15.75">
      <c r="B1336" s="111"/>
      <c r="C1336" s="111"/>
      <c r="D1336" s="102"/>
      <c r="E1336" s="130"/>
      <c r="F1336" s="102"/>
      <c r="G1336" s="122"/>
      <c r="H1336" s="10"/>
    </row>
    <row r="1337" spans="2:8" ht="15.75">
      <c r="B1337" s="111"/>
      <c r="C1337" s="111"/>
      <c r="D1337" s="102"/>
      <c r="E1337" s="130"/>
      <c r="F1337" s="102"/>
      <c r="G1337" s="122"/>
      <c r="H1337" s="10"/>
    </row>
    <row r="1338" spans="2:8" ht="15.75">
      <c r="B1338" s="111"/>
      <c r="C1338" s="111"/>
      <c r="D1338" s="102"/>
      <c r="E1338" s="130"/>
      <c r="F1338" s="102"/>
      <c r="G1338" s="122"/>
      <c r="H1338" s="10"/>
    </row>
    <row r="1339" spans="2:8" ht="15.75">
      <c r="B1339" s="111"/>
      <c r="C1339" s="111"/>
      <c r="D1339" s="102"/>
      <c r="E1339" s="130"/>
      <c r="F1339" s="102"/>
      <c r="G1339" s="122"/>
      <c r="H1339" s="10"/>
    </row>
    <row r="1340" spans="2:8" ht="15.75">
      <c r="B1340" s="111"/>
      <c r="C1340" s="111"/>
      <c r="D1340" s="102"/>
      <c r="E1340" s="130"/>
      <c r="F1340" s="102"/>
      <c r="G1340" s="122"/>
      <c r="H1340" s="10"/>
    </row>
    <row r="1341" spans="2:8" ht="15.75">
      <c r="B1341" s="111"/>
      <c r="C1341" s="111"/>
      <c r="D1341" s="102"/>
      <c r="E1341" s="130"/>
      <c r="F1341" s="102"/>
      <c r="G1341" s="122"/>
      <c r="H1341" s="10"/>
    </row>
    <row r="1342" spans="2:8" ht="15.75">
      <c r="B1342" s="111"/>
      <c r="C1342" s="111"/>
      <c r="D1342" s="102"/>
      <c r="E1342" s="130"/>
      <c r="F1342" s="102"/>
      <c r="G1342" s="122"/>
      <c r="H1342" s="10"/>
    </row>
    <row r="1343" spans="2:8" ht="15.75">
      <c r="B1343" s="111"/>
      <c r="C1343" s="111"/>
      <c r="D1343" s="102"/>
      <c r="E1343" s="130"/>
      <c r="F1343" s="102"/>
      <c r="G1343" s="122"/>
      <c r="H1343" s="10"/>
    </row>
    <row r="1344" spans="2:8" ht="15.75">
      <c r="B1344" s="111"/>
      <c r="C1344" s="111"/>
      <c r="D1344" s="102"/>
      <c r="E1344" s="130"/>
      <c r="F1344" s="102"/>
      <c r="G1344" s="122"/>
      <c r="H1344" s="10"/>
    </row>
    <row r="1345" spans="2:8" ht="15.75">
      <c r="B1345" s="111"/>
      <c r="C1345" s="111"/>
      <c r="D1345" s="102"/>
      <c r="E1345" s="130"/>
      <c r="F1345" s="102"/>
      <c r="G1345" s="122"/>
      <c r="H1345" s="10"/>
    </row>
    <row r="1346" spans="2:8" ht="15.75">
      <c r="B1346" s="111"/>
      <c r="C1346" s="111"/>
      <c r="D1346" s="102"/>
      <c r="E1346" s="130"/>
      <c r="F1346" s="102"/>
      <c r="G1346" s="122"/>
      <c r="H1346" s="10"/>
    </row>
    <row r="1347" spans="2:8" ht="15.75">
      <c r="B1347" s="111"/>
      <c r="C1347" s="111"/>
      <c r="D1347" s="102"/>
      <c r="E1347" s="130"/>
      <c r="F1347" s="102"/>
      <c r="G1347" s="122"/>
      <c r="H1347" s="10"/>
    </row>
    <row r="1348" spans="2:8" ht="15.75">
      <c r="B1348" s="111"/>
      <c r="C1348" s="111"/>
      <c r="D1348" s="102"/>
      <c r="E1348" s="130"/>
      <c r="F1348" s="102"/>
      <c r="G1348" s="122"/>
      <c r="H1348" s="10"/>
    </row>
    <row r="1349" spans="2:8" ht="15.75">
      <c r="B1349" s="111"/>
      <c r="C1349" s="111"/>
      <c r="D1349" s="102"/>
      <c r="E1349" s="130"/>
      <c r="F1349" s="102"/>
      <c r="G1349" s="122"/>
      <c r="H1349" s="10"/>
    </row>
    <row r="1350" spans="2:8" ht="15.75">
      <c r="B1350" s="111"/>
      <c r="C1350" s="111"/>
      <c r="D1350" s="102"/>
      <c r="E1350" s="130"/>
      <c r="F1350" s="102"/>
      <c r="G1350" s="122"/>
      <c r="H1350" s="10"/>
    </row>
    <row r="1351" spans="2:8" ht="15.75">
      <c r="B1351" s="111"/>
      <c r="C1351" s="111"/>
      <c r="D1351" s="102"/>
      <c r="E1351" s="130"/>
      <c r="F1351" s="102"/>
      <c r="G1351" s="122"/>
      <c r="H1351" s="10"/>
    </row>
    <row r="1352" spans="2:8" ht="15.75">
      <c r="B1352" s="111"/>
      <c r="C1352" s="111"/>
      <c r="D1352" s="102"/>
      <c r="E1352" s="130"/>
      <c r="F1352" s="102"/>
      <c r="G1352" s="122"/>
      <c r="H1352" s="10"/>
    </row>
    <row r="1353" spans="2:8" ht="15.75">
      <c r="B1353" s="111"/>
      <c r="C1353" s="111"/>
      <c r="D1353" s="102"/>
      <c r="E1353" s="130"/>
      <c r="F1353" s="102"/>
      <c r="G1353" s="122"/>
      <c r="H1353" s="10"/>
    </row>
    <row r="1354" spans="2:8" ht="15.75">
      <c r="B1354" s="111"/>
      <c r="C1354" s="111"/>
      <c r="D1354" s="102"/>
      <c r="E1354" s="130"/>
      <c r="F1354" s="102"/>
      <c r="G1354" s="122"/>
      <c r="H1354" s="10"/>
    </row>
    <row r="1355" spans="2:8" ht="15.75">
      <c r="B1355" s="111"/>
      <c r="C1355" s="111"/>
      <c r="D1355" s="102"/>
      <c r="E1355" s="130"/>
      <c r="F1355" s="102"/>
      <c r="G1355" s="122"/>
      <c r="H1355" s="10"/>
    </row>
    <row r="1356" spans="2:8" ht="15.75">
      <c r="B1356" s="111"/>
      <c r="C1356" s="111"/>
      <c r="D1356" s="102"/>
      <c r="E1356" s="130"/>
      <c r="F1356" s="102"/>
      <c r="G1356" s="122"/>
      <c r="H1356" s="10"/>
    </row>
    <row r="1357" spans="2:8" ht="15.75">
      <c r="B1357" s="111"/>
      <c r="C1357" s="111"/>
      <c r="D1357" s="102"/>
      <c r="E1357" s="130"/>
      <c r="F1357" s="102"/>
      <c r="G1357" s="122"/>
      <c r="H1357" s="10"/>
    </row>
    <row r="1358" spans="2:8" ht="15.75">
      <c r="B1358" s="111"/>
      <c r="C1358" s="111"/>
      <c r="D1358" s="102"/>
      <c r="E1358" s="130"/>
      <c r="F1358" s="102"/>
      <c r="G1358" s="122"/>
      <c r="H1358" s="10"/>
    </row>
    <row r="1359" spans="2:8" ht="15.75">
      <c r="B1359" s="111"/>
      <c r="C1359" s="111"/>
      <c r="D1359" s="102"/>
      <c r="E1359" s="130"/>
      <c r="F1359" s="102"/>
      <c r="G1359" s="122"/>
      <c r="H1359" s="10"/>
    </row>
    <row r="1360" spans="2:8" ht="15.75">
      <c r="B1360" s="111"/>
      <c r="C1360" s="111"/>
      <c r="D1360" s="102"/>
      <c r="E1360" s="130"/>
      <c r="F1360" s="102"/>
      <c r="G1360" s="122"/>
      <c r="H1360" s="10"/>
    </row>
    <row r="1361" spans="2:8" ht="15.75">
      <c r="B1361" s="111"/>
      <c r="C1361" s="111"/>
      <c r="D1361" s="102"/>
      <c r="E1361" s="130"/>
      <c r="F1361" s="102"/>
      <c r="G1361" s="122"/>
      <c r="H1361" s="10"/>
    </row>
    <row r="1362" spans="2:8" ht="15.75">
      <c r="B1362" s="111"/>
      <c r="C1362" s="111"/>
      <c r="D1362" s="102"/>
      <c r="E1362" s="130"/>
      <c r="F1362" s="102"/>
      <c r="G1362" s="122"/>
      <c r="H1362" s="10"/>
    </row>
    <row r="1363" spans="2:8" ht="15.75">
      <c r="B1363" s="111"/>
      <c r="C1363" s="111"/>
      <c r="D1363" s="102"/>
      <c r="E1363" s="130"/>
      <c r="F1363" s="102"/>
      <c r="G1363" s="122"/>
      <c r="H1363" s="10"/>
    </row>
    <row r="1364" spans="2:8" ht="15.75">
      <c r="B1364" s="111"/>
      <c r="C1364" s="111"/>
      <c r="D1364" s="102"/>
      <c r="E1364" s="130"/>
      <c r="F1364" s="102"/>
      <c r="G1364" s="122"/>
      <c r="H1364" s="10"/>
    </row>
    <row r="1365" spans="2:8" ht="15.75">
      <c r="B1365" s="111"/>
      <c r="C1365" s="111"/>
      <c r="D1365" s="102"/>
      <c r="E1365" s="130"/>
      <c r="F1365" s="102"/>
      <c r="G1365" s="122"/>
      <c r="H1365" s="10"/>
    </row>
    <row r="1366" spans="2:8" ht="15.75">
      <c r="B1366" s="111"/>
      <c r="C1366" s="111"/>
      <c r="D1366" s="102"/>
      <c r="E1366" s="130"/>
      <c r="F1366" s="102"/>
      <c r="G1366" s="122"/>
      <c r="H1366" s="10"/>
    </row>
    <row r="1367" spans="2:8" ht="15.75">
      <c r="B1367" s="111"/>
      <c r="C1367" s="111"/>
      <c r="D1367" s="102"/>
      <c r="E1367" s="130"/>
      <c r="F1367" s="102"/>
      <c r="G1367" s="122"/>
      <c r="H1367" s="10"/>
    </row>
    <row r="1368" spans="2:8" ht="15.75">
      <c r="B1368" s="111"/>
      <c r="C1368" s="111"/>
      <c r="D1368" s="102"/>
      <c r="E1368" s="130"/>
      <c r="F1368" s="102"/>
      <c r="G1368" s="122"/>
      <c r="H1368" s="10"/>
    </row>
    <row r="1369" spans="2:8" ht="15.75">
      <c r="B1369" s="111"/>
      <c r="C1369" s="111"/>
      <c r="D1369" s="102"/>
      <c r="E1369" s="130"/>
      <c r="F1369" s="102"/>
      <c r="G1369" s="122"/>
      <c r="H1369" s="10"/>
    </row>
    <row r="1370" spans="2:8" ht="15.75">
      <c r="B1370" s="111"/>
      <c r="C1370" s="111"/>
      <c r="D1370" s="102"/>
      <c r="E1370" s="130"/>
      <c r="F1370" s="102"/>
      <c r="G1370" s="122"/>
      <c r="H1370" s="10"/>
    </row>
    <row r="1371" spans="2:8" ht="15.75">
      <c r="B1371" s="111"/>
      <c r="C1371" s="111"/>
      <c r="D1371" s="102"/>
      <c r="E1371" s="130"/>
      <c r="F1371" s="102"/>
      <c r="G1371" s="122"/>
      <c r="H1371" s="10"/>
    </row>
    <row r="1372" spans="2:8" ht="15.75">
      <c r="B1372" s="111"/>
      <c r="C1372" s="111"/>
      <c r="D1372" s="102"/>
      <c r="E1372" s="130"/>
      <c r="F1372" s="102"/>
      <c r="G1372" s="122"/>
      <c r="H1372" s="10"/>
    </row>
    <row r="1373" spans="2:8" ht="15.75">
      <c r="B1373" s="111"/>
      <c r="C1373" s="111"/>
      <c r="D1373" s="102"/>
      <c r="E1373" s="130"/>
      <c r="F1373" s="102"/>
      <c r="G1373" s="122"/>
      <c r="H1373" s="10"/>
    </row>
    <row r="1374" spans="2:8" ht="15.75">
      <c r="B1374" s="111"/>
      <c r="C1374" s="111"/>
      <c r="D1374" s="102"/>
      <c r="E1374" s="130"/>
      <c r="F1374" s="102"/>
      <c r="G1374" s="122"/>
      <c r="H1374" s="10"/>
    </row>
    <row r="1375" spans="2:8" ht="15.75">
      <c r="B1375" s="111"/>
      <c r="C1375" s="111"/>
      <c r="D1375" s="102"/>
      <c r="E1375" s="130"/>
      <c r="F1375" s="102"/>
      <c r="G1375" s="122"/>
      <c r="H1375" s="10"/>
    </row>
    <row r="1376" spans="2:8" ht="15.75">
      <c r="B1376" s="111"/>
      <c r="C1376" s="111"/>
      <c r="D1376" s="102"/>
      <c r="E1376" s="130"/>
      <c r="F1376" s="102"/>
      <c r="G1376" s="122"/>
      <c r="H1376" s="10"/>
    </row>
    <row r="1377" spans="2:8" ht="15.75">
      <c r="B1377" s="111"/>
      <c r="C1377" s="111"/>
      <c r="D1377" s="102"/>
      <c r="E1377" s="130"/>
      <c r="F1377" s="102"/>
      <c r="G1377" s="122"/>
      <c r="H1377" s="10"/>
    </row>
    <row r="1378" spans="2:8" ht="15.75">
      <c r="B1378" s="111"/>
      <c r="C1378" s="111"/>
      <c r="D1378" s="102"/>
      <c r="E1378" s="130"/>
      <c r="F1378" s="102"/>
      <c r="G1378" s="122"/>
      <c r="H1378" s="10"/>
    </row>
    <row r="1379" spans="2:8" ht="15.75">
      <c r="B1379" s="111"/>
      <c r="C1379" s="111"/>
      <c r="D1379" s="102"/>
      <c r="E1379" s="130"/>
      <c r="F1379" s="102"/>
      <c r="G1379" s="122"/>
      <c r="H1379" s="10"/>
    </row>
    <row r="1380" spans="2:8" ht="15.75">
      <c r="B1380" s="111"/>
      <c r="C1380" s="111"/>
      <c r="D1380" s="102"/>
      <c r="E1380" s="130"/>
      <c r="F1380" s="102"/>
      <c r="G1380" s="122"/>
      <c r="H1380" s="10"/>
    </row>
    <row r="1381" spans="2:8" ht="15.75">
      <c r="B1381" s="111"/>
      <c r="C1381" s="111"/>
      <c r="D1381" s="102"/>
      <c r="E1381" s="130"/>
      <c r="F1381" s="102"/>
      <c r="G1381" s="122"/>
      <c r="H1381" s="10"/>
    </row>
    <row r="1382" spans="2:8" ht="15.75">
      <c r="B1382" s="111"/>
      <c r="C1382" s="111"/>
      <c r="D1382" s="102"/>
      <c r="E1382" s="130"/>
      <c r="F1382" s="102"/>
      <c r="G1382" s="122"/>
      <c r="H1382" s="10"/>
    </row>
    <row r="1383" spans="2:8" ht="15.75">
      <c r="B1383" s="111"/>
      <c r="C1383" s="111"/>
      <c r="D1383" s="102"/>
      <c r="E1383" s="130"/>
      <c r="F1383" s="102"/>
      <c r="G1383" s="122"/>
      <c r="H1383" s="10"/>
    </row>
    <row r="1384" spans="2:8" ht="15.75">
      <c r="B1384" s="111"/>
      <c r="C1384" s="111"/>
      <c r="D1384" s="102"/>
      <c r="E1384" s="130"/>
      <c r="F1384" s="102"/>
      <c r="G1384" s="122"/>
      <c r="H1384" s="10"/>
    </row>
    <row r="1385" spans="2:8" ht="15.75">
      <c r="B1385" s="111"/>
      <c r="C1385" s="111"/>
      <c r="D1385" s="102"/>
      <c r="E1385" s="130"/>
      <c r="F1385" s="102"/>
      <c r="G1385" s="122"/>
      <c r="H1385" s="10"/>
    </row>
    <row r="1386" spans="2:8" ht="15.75">
      <c r="B1386" s="111"/>
      <c r="C1386" s="111"/>
      <c r="D1386" s="102"/>
      <c r="E1386" s="130"/>
      <c r="F1386" s="102"/>
      <c r="G1386" s="122"/>
      <c r="H1386" s="10"/>
    </row>
    <row r="1387" spans="2:8" ht="15.75">
      <c r="B1387" s="111"/>
      <c r="C1387" s="111"/>
      <c r="D1387" s="102"/>
      <c r="E1387" s="130"/>
      <c r="F1387" s="102"/>
      <c r="G1387" s="122"/>
      <c r="H1387" s="10"/>
    </row>
    <row r="1388" spans="2:8" ht="15.75">
      <c r="B1388" s="111"/>
      <c r="C1388" s="111"/>
      <c r="D1388" s="102"/>
      <c r="E1388" s="130"/>
      <c r="F1388" s="102"/>
      <c r="G1388" s="122"/>
      <c r="H1388" s="10"/>
    </row>
    <row r="1389" spans="2:8" ht="15.75">
      <c r="B1389" s="111"/>
      <c r="C1389" s="111"/>
      <c r="D1389" s="102"/>
      <c r="E1389" s="130"/>
      <c r="F1389" s="102"/>
      <c r="G1389" s="122"/>
      <c r="H1389" s="10"/>
    </row>
    <row r="1390" spans="2:8" ht="15.75">
      <c r="B1390" s="111"/>
      <c r="C1390" s="111"/>
      <c r="D1390" s="102"/>
      <c r="E1390" s="130"/>
      <c r="F1390" s="102"/>
      <c r="G1390" s="122"/>
      <c r="H1390" s="10"/>
    </row>
    <row r="1391" spans="2:8" ht="15.75">
      <c r="B1391" s="111"/>
      <c r="C1391" s="111"/>
      <c r="D1391" s="102"/>
      <c r="E1391" s="130"/>
      <c r="F1391" s="102"/>
      <c r="G1391" s="122"/>
      <c r="H1391" s="10"/>
    </row>
    <row r="1392" spans="2:8" ht="15.75">
      <c r="B1392" s="111"/>
      <c r="C1392" s="111"/>
      <c r="D1392" s="102"/>
      <c r="E1392" s="130"/>
      <c r="F1392" s="102"/>
      <c r="G1392" s="122"/>
      <c r="H1392" s="10"/>
    </row>
    <row r="1393" spans="2:8" ht="15.75">
      <c r="B1393" s="111"/>
      <c r="C1393" s="111"/>
      <c r="D1393" s="102"/>
      <c r="E1393" s="130"/>
      <c r="F1393" s="102"/>
      <c r="G1393" s="122"/>
      <c r="H1393" s="10"/>
    </row>
    <row r="1394" spans="2:8" ht="15.75">
      <c r="B1394" s="111"/>
      <c r="C1394" s="111"/>
      <c r="D1394" s="102"/>
      <c r="E1394" s="130"/>
      <c r="F1394" s="102"/>
      <c r="G1394" s="122"/>
      <c r="H1394" s="10"/>
    </row>
    <row r="1395" spans="2:8" ht="15.75">
      <c r="B1395" s="111"/>
      <c r="C1395" s="111"/>
      <c r="D1395" s="102"/>
      <c r="E1395" s="130"/>
      <c r="F1395" s="102"/>
      <c r="G1395" s="122"/>
      <c r="H1395" s="10"/>
    </row>
    <row r="1396" spans="2:8" ht="15.75">
      <c r="B1396" s="111"/>
      <c r="C1396" s="111"/>
      <c r="D1396" s="102"/>
      <c r="E1396" s="130"/>
      <c r="F1396" s="102"/>
      <c r="G1396" s="122"/>
      <c r="H1396" s="10"/>
    </row>
    <row r="1397" spans="2:8" ht="15.75">
      <c r="B1397" s="111"/>
      <c r="C1397" s="111"/>
      <c r="D1397" s="102"/>
      <c r="E1397" s="130"/>
      <c r="F1397" s="102"/>
      <c r="G1397" s="122"/>
      <c r="H1397" s="10"/>
    </row>
    <row r="1398" spans="2:8" ht="15.75">
      <c r="B1398" s="111"/>
      <c r="C1398" s="111"/>
      <c r="D1398" s="102"/>
      <c r="E1398" s="130"/>
      <c r="F1398" s="102"/>
      <c r="G1398" s="122"/>
      <c r="H1398" s="10"/>
    </row>
    <row r="1399" spans="2:8" ht="15.75">
      <c r="B1399" s="111"/>
      <c r="C1399" s="111"/>
      <c r="D1399" s="102"/>
      <c r="E1399" s="130"/>
      <c r="F1399" s="102"/>
      <c r="G1399" s="122"/>
      <c r="H1399" s="10"/>
    </row>
    <row r="1400" spans="2:8" ht="15.75">
      <c r="B1400" s="111"/>
      <c r="C1400" s="111"/>
      <c r="D1400" s="102"/>
      <c r="E1400" s="130"/>
      <c r="F1400" s="102"/>
      <c r="G1400" s="122"/>
      <c r="H1400" s="10"/>
    </row>
    <row r="1401" spans="2:8" ht="15.75">
      <c r="B1401" s="111"/>
      <c r="C1401" s="111"/>
      <c r="D1401" s="102"/>
      <c r="E1401" s="130"/>
      <c r="F1401" s="102"/>
      <c r="G1401" s="122"/>
      <c r="H1401" s="10"/>
    </row>
    <row r="1402" spans="2:8" ht="15.75">
      <c r="B1402" s="111"/>
      <c r="C1402" s="111"/>
      <c r="D1402" s="102"/>
      <c r="E1402" s="130"/>
      <c r="F1402" s="102"/>
      <c r="G1402" s="122"/>
      <c r="H1402" s="10"/>
    </row>
    <row r="1403" spans="2:8" ht="15.75">
      <c r="B1403" s="111"/>
      <c r="C1403" s="111"/>
      <c r="D1403" s="102"/>
      <c r="E1403" s="130"/>
      <c r="F1403" s="102"/>
      <c r="G1403" s="122"/>
      <c r="H1403" s="10"/>
    </row>
    <row r="1404" spans="2:8" ht="15.75">
      <c r="B1404" s="111"/>
      <c r="C1404" s="111"/>
      <c r="D1404" s="102"/>
      <c r="E1404" s="130"/>
      <c r="F1404" s="102"/>
      <c r="G1404" s="122"/>
      <c r="H1404" s="10"/>
    </row>
    <row r="1405" spans="2:8" ht="15.75">
      <c r="B1405" s="111"/>
      <c r="C1405" s="111"/>
      <c r="D1405" s="102"/>
      <c r="E1405" s="130"/>
      <c r="F1405" s="102"/>
      <c r="G1405" s="122"/>
      <c r="H1405" s="10"/>
    </row>
    <row r="1406" spans="2:8" ht="15.75">
      <c r="B1406" s="111"/>
      <c r="C1406" s="111"/>
      <c r="D1406" s="102"/>
      <c r="E1406" s="130"/>
      <c r="F1406" s="102"/>
      <c r="G1406" s="122"/>
      <c r="H1406" s="10"/>
    </row>
    <row r="1407" spans="2:8" ht="15.75">
      <c r="B1407" s="111"/>
      <c r="C1407" s="111"/>
      <c r="D1407" s="102"/>
      <c r="E1407" s="130"/>
      <c r="F1407" s="102"/>
      <c r="G1407" s="122"/>
      <c r="H1407" s="10"/>
    </row>
    <row r="1408" spans="2:8" ht="15.75">
      <c r="B1408" s="111"/>
      <c r="C1408" s="111"/>
      <c r="D1408" s="102"/>
      <c r="E1408" s="130"/>
      <c r="F1408" s="102"/>
      <c r="G1408" s="122"/>
      <c r="H1408" s="10"/>
    </row>
    <row r="1409" spans="2:8" ht="15.75">
      <c r="B1409" s="111"/>
      <c r="C1409" s="111"/>
      <c r="D1409" s="102"/>
      <c r="E1409" s="130"/>
      <c r="F1409" s="102"/>
      <c r="G1409" s="122"/>
      <c r="H1409" s="10"/>
    </row>
    <row r="1410" spans="2:8" ht="15.75">
      <c r="B1410" s="111"/>
      <c r="C1410" s="111"/>
      <c r="D1410" s="102"/>
      <c r="E1410" s="130"/>
      <c r="F1410" s="102"/>
      <c r="G1410" s="122"/>
      <c r="H1410" s="10"/>
    </row>
    <row r="1411" spans="2:8" ht="15.75">
      <c r="B1411" s="111"/>
      <c r="C1411" s="111"/>
      <c r="D1411" s="102"/>
      <c r="E1411" s="130"/>
      <c r="F1411" s="102"/>
      <c r="G1411" s="122"/>
      <c r="H1411" s="10"/>
    </row>
    <row r="1412" spans="2:8" ht="15.75">
      <c r="B1412" s="111"/>
      <c r="C1412" s="111"/>
      <c r="D1412" s="102"/>
      <c r="E1412" s="130"/>
      <c r="F1412" s="102"/>
      <c r="G1412" s="122"/>
      <c r="H1412" s="10"/>
    </row>
    <row r="1413" spans="2:8" ht="15.75">
      <c r="B1413" s="111"/>
      <c r="C1413" s="111"/>
      <c r="D1413" s="102"/>
      <c r="E1413" s="130"/>
      <c r="F1413" s="102"/>
      <c r="G1413" s="122"/>
      <c r="H1413" s="10"/>
    </row>
    <row r="1414" spans="2:8" ht="15.75">
      <c r="B1414" s="111"/>
      <c r="C1414" s="111"/>
      <c r="D1414" s="102"/>
      <c r="E1414" s="130"/>
      <c r="F1414" s="102"/>
      <c r="G1414" s="122"/>
      <c r="H1414" s="10"/>
    </row>
    <row r="1415" spans="2:8" ht="15.75">
      <c r="B1415" s="111"/>
      <c r="C1415" s="111"/>
      <c r="D1415" s="102"/>
      <c r="E1415" s="130"/>
      <c r="F1415" s="102"/>
      <c r="G1415" s="122"/>
      <c r="H1415" s="10"/>
    </row>
    <row r="1416" spans="2:8" ht="15.75">
      <c r="B1416" s="111"/>
      <c r="C1416" s="111"/>
      <c r="D1416" s="102"/>
      <c r="E1416" s="130"/>
      <c r="F1416" s="102"/>
      <c r="G1416" s="122"/>
      <c r="H1416" s="10"/>
    </row>
    <row r="1417" spans="2:8" ht="15.75">
      <c r="B1417" s="111"/>
      <c r="C1417" s="111"/>
      <c r="D1417" s="102"/>
      <c r="E1417" s="130"/>
      <c r="F1417" s="102"/>
      <c r="G1417" s="122"/>
      <c r="H1417" s="10"/>
    </row>
    <row r="1418" spans="2:8" ht="15.75">
      <c r="B1418" s="111"/>
      <c r="C1418" s="111"/>
      <c r="D1418" s="102"/>
      <c r="E1418" s="130"/>
      <c r="F1418" s="102"/>
      <c r="G1418" s="122"/>
      <c r="H1418" s="10"/>
    </row>
    <row r="1419" spans="2:8" ht="15.75">
      <c r="B1419" s="111"/>
      <c r="C1419" s="111"/>
      <c r="D1419" s="102"/>
      <c r="E1419" s="130"/>
      <c r="F1419" s="102"/>
      <c r="G1419" s="122"/>
      <c r="H1419" s="10"/>
    </row>
    <row r="1420" spans="2:8" ht="15.75">
      <c r="B1420" s="111"/>
      <c r="C1420" s="111"/>
      <c r="D1420" s="102"/>
      <c r="E1420" s="130"/>
      <c r="F1420" s="102"/>
      <c r="G1420" s="122"/>
      <c r="H1420" s="10"/>
    </row>
    <row r="1421" spans="2:8" ht="15.75">
      <c r="B1421" s="111"/>
      <c r="C1421" s="111"/>
      <c r="D1421" s="102"/>
      <c r="E1421" s="130"/>
      <c r="F1421" s="102"/>
      <c r="G1421" s="122"/>
      <c r="H1421" s="10"/>
    </row>
    <row r="1422" spans="2:8" ht="15.75">
      <c r="B1422" s="111"/>
      <c r="C1422" s="111"/>
      <c r="D1422" s="102"/>
      <c r="E1422" s="130"/>
      <c r="F1422" s="102"/>
      <c r="G1422" s="122"/>
      <c r="H1422" s="10"/>
    </row>
    <row r="1423" spans="2:8" ht="15.75">
      <c r="B1423" s="111"/>
      <c r="C1423" s="111"/>
      <c r="D1423" s="102"/>
      <c r="E1423" s="130"/>
      <c r="F1423" s="102"/>
      <c r="G1423" s="122"/>
      <c r="H1423" s="10"/>
    </row>
    <row r="1424" spans="2:8" ht="15.75">
      <c r="B1424" s="111"/>
      <c r="C1424" s="111"/>
      <c r="D1424" s="102"/>
      <c r="E1424" s="130"/>
      <c r="F1424" s="102"/>
      <c r="G1424" s="122"/>
      <c r="H1424" s="10"/>
    </row>
    <row r="1425" spans="2:8" ht="15.75">
      <c r="B1425" s="111"/>
      <c r="C1425" s="111"/>
      <c r="D1425" s="102"/>
      <c r="E1425" s="130"/>
      <c r="F1425" s="102"/>
      <c r="G1425" s="122"/>
      <c r="H1425" s="10"/>
    </row>
    <row r="1426" spans="2:8" ht="15.75">
      <c r="B1426" s="111"/>
      <c r="C1426" s="111"/>
      <c r="D1426" s="102"/>
      <c r="E1426" s="130"/>
      <c r="F1426" s="102"/>
      <c r="G1426" s="122"/>
      <c r="H1426" s="10"/>
    </row>
    <row r="1427" spans="2:8" ht="15.75">
      <c r="B1427" s="111"/>
      <c r="C1427" s="111"/>
      <c r="D1427" s="102"/>
      <c r="E1427" s="130"/>
      <c r="F1427" s="102"/>
      <c r="G1427" s="122"/>
      <c r="H1427" s="10"/>
    </row>
    <row r="1428" spans="2:8" ht="15.75">
      <c r="B1428" s="111"/>
      <c r="C1428" s="111"/>
      <c r="D1428" s="102"/>
      <c r="E1428" s="130"/>
      <c r="F1428" s="102"/>
      <c r="G1428" s="122"/>
      <c r="H1428" s="10"/>
    </row>
    <row r="1429" spans="2:8" ht="15.75">
      <c r="B1429" s="111"/>
      <c r="C1429" s="111"/>
      <c r="D1429" s="102"/>
      <c r="E1429" s="130"/>
      <c r="F1429" s="102"/>
      <c r="G1429" s="122"/>
      <c r="H1429" s="10"/>
    </row>
    <row r="1430" spans="2:8" ht="15.75">
      <c r="B1430" s="111"/>
      <c r="C1430" s="111"/>
      <c r="D1430" s="102"/>
      <c r="E1430" s="130"/>
      <c r="F1430" s="102"/>
      <c r="G1430" s="122"/>
      <c r="H1430" s="10"/>
    </row>
    <row r="1431" spans="2:8" ht="15.75">
      <c r="B1431" s="111"/>
      <c r="C1431" s="111"/>
      <c r="D1431" s="102"/>
      <c r="E1431" s="130"/>
      <c r="F1431" s="102"/>
      <c r="G1431" s="122"/>
      <c r="H1431" s="10"/>
    </row>
    <row r="1432" spans="2:8" ht="15.75">
      <c r="B1432" s="111"/>
      <c r="C1432" s="111"/>
      <c r="D1432" s="102"/>
      <c r="E1432" s="130"/>
      <c r="F1432" s="102"/>
      <c r="G1432" s="122"/>
      <c r="H1432" s="10"/>
    </row>
    <row r="1433" spans="2:8" ht="15.75">
      <c r="B1433" s="111"/>
      <c r="C1433" s="111"/>
      <c r="D1433" s="102"/>
      <c r="E1433" s="130"/>
      <c r="F1433" s="102"/>
      <c r="G1433" s="122"/>
      <c r="H1433" s="10"/>
    </row>
    <row r="1434" spans="2:8" ht="15.75">
      <c r="B1434" s="111"/>
      <c r="C1434" s="111"/>
      <c r="D1434" s="102"/>
      <c r="E1434" s="130"/>
      <c r="F1434" s="102"/>
      <c r="G1434" s="122"/>
      <c r="H1434" s="10"/>
    </row>
    <row r="1435" spans="2:8" ht="15.75">
      <c r="B1435" s="111"/>
      <c r="C1435" s="111"/>
      <c r="D1435" s="102"/>
      <c r="E1435" s="130"/>
      <c r="F1435" s="102"/>
      <c r="G1435" s="122"/>
      <c r="H1435" s="10"/>
    </row>
    <row r="1436" spans="2:8" ht="15.75">
      <c r="B1436" s="111"/>
      <c r="C1436" s="111"/>
      <c r="D1436" s="102"/>
      <c r="E1436" s="130"/>
      <c r="F1436" s="102"/>
      <c r="G1436" s="122"/>
      <c r="H1436" s="10"/>
    </row>
    <row r="1437" spans="2:8" ht="15.75">
      <c r="B1437" s="111"/>
      <c r="C1437" s="111"/>
      <c r="D1437" s="102"/>
      <c r="E1437" s="130"/>
      <c r="F1437" s="102"/>
      <c r="G1437" s="122"/>
      <c r="H1437" s="10"/>
    </row>
    <row r="1438" spans="2:8" ht="15.75">
      <c r="B1438" s="111"/>
      <c r="C1438" s="111"/>
      <c r="D1438" s="102"/>
      <c r="E1438" s="130"/>
      <c r="F1438" s="102"/>
      <c r="G1438" s="122"/>
      <c r="H1438" s="10"/>
    </row>
    <row r="1439" spans="2:8" ht="15.75">
      <c r="B1439" s="111"/>
      <c r="C1439" s="111"/>
      <c r="D1439" s="102"/>
      <c r="E1439" s="130"/>
      <c r="F1439" s="102"/>
      <c r="G1439" s="122"/>
      <c r="H1439" s="10"/>
    </row>
    <row r="1440" spans="2:8" ht="15.75">
      <c r="B1440" s="111"/>
      <c r="C1440" s="111"/>
      <c r="D1440" s="102"/>
      <c r="E1440" s="130"/>
      <c r="F1440" s="102"/>
      <c r="G1440" s="122"/>
      <c r="H1440" s="10"/>
    </row>
    <row r="1441" spans="2:8" ht="15.75">
      <c r="B1441" s="111"/>
      <c r="C1441" s="111"/>
      <c r="D1441" s="102"/>
      <c r="E1441" s="130"/>
      <c r="F1441" s="102"/>
      <c r="G1441" s="122"/>
      <c r="H1441" s="10"/>
    </row>
    <row r="1442" spans="2:8" ht="15.75">
      <c r="B1442" s="111"/>
      <c r="C1442" s="111"/>
      <c r="D1442" s="102"/>
      <c r="E1442" s="130"/>
      <c r="F1442" s="102"/>
      <c r="G1442" s="122"/>
      <c r="H1442" s="10"/>
    </row>
    <row r="1443" spans="2:8" ht="15.75">
      <c r="B1443" s="111"/>
      <c r="C1443" s="111"/>
      <c r="D1443" s="102"/>
      <c r="E1443" s="130"/>
      <c r="F1443" s="102"/>
      <c r="G1443" s="122"/>
      <c r="H1443" s="10"/>
    </row>
    <row r="1444" spans="2:8" ht="15.75">
      <c r="B1444" s="111"/>
      <c r="C1444" s="111"/>
      <c r="D1444" s="102"/>
      <c r="E1444" s="130"/>
      <c r="F1444" s="102"/>
      <c r="G1444" s="122"/>
      <c r="H1444" s="10"/>
    </row>
    <row r="1445" spans="2:8" ht="15.75">
      <c r="B1445" s="111"/>
      <c r="C1445" s="111"/>
      <c r="D1445" s="102"/>
      <c r="E1445" s="130"/>
      <c r="F1445" s="102"/>
      <c r="G1445" s="122"/>
      <c r="H1445" s="10"/>
    </row>
    <row r="1446" spans="2:8" ht="15.75">
      <c r="B1446" s="111"/>
      <c r="C1446" s="111"/>
      <c r="D1446" s="102"/>
      <c r="E1446" s="130"/>
      <c r="F1446" s="102"/>
      <c r="G1446" s="122"/>
      <c r="H1446" s="10"/>
    </row>
    <row r="1447" spans="2:8" ht="15.75">
      <c r="B1447" s="111"/>
      <c r="C1447" s="111"/>
      <c r="D1447" s="102"/>
      <c r="E1447" s="130"/>
      <c r="F1447" s="102"/>
      <c r="G1447" s="122"/>
      <c r="H1447" s="10"/>
    </row>
    <row r="1448" spans="2:8" ht="15.75">
      <c r="B1448" s="111"/>
      <c r="C1448" s="111"/>
      <c r="D1448" s="102"/>
      <c r="E1448" s="130"/>
      <c r="F1448" s="102"/>
      <c r="G1448" s="122"/>
      <c r="H1448" s="10"/>
    </row>
    <row r="1449" spans="2:8" ht="15.75">
      <c r="B1449" s="111"/>
      <c r="C1449" s="111"/>
      <c r="D1449" s="102"/>
      <c r="E1449" s="130"/>
      <c r="F1449" s="102"/>
      <c r="G1449" s="122"/>
      <c r="H1449" s="10"/>
    </row>
    <row r="1450" spans="2:8" ht="15.75">
      <c r="B1450" s="111"/>
      <c r="C1450" s="111"/>
      <c r="D1450" s="102"/>
      <c r="E1450" s="130"/>
      <c r="F1450" s="102"/>
      <c r="G1450" s="122"/>
      <c r="H1450" s="10"/>
    </row>
    <row r="1451" spans="2:8" ht="15.75">
      <c r="B1451" s="111"/>
      <c r="C1451" s="111"/>
      <c r="D1451" s="102"/>
      <c r="E1451" s="130"/>
      <c r="F1451" s="102"/>
      <c r="G1451" s="122"/>
      <c r="H1451" s="10"/>
    </row>
    <row r="1452" spans="2:8" ht="15.75">
      <c r="B1452" s="111"/>
      <c r="C1452" s="111"/>
      <c r="D1452" s="102"/>
      <c r="E1452" s="130"/>
      <c r="F1452" s="102"/>
      <c r="G1452" s="122"/>
      <c r="H1452" s="10"/>
    </row>
    <row r="1453" spans="2:8" ht="15.75">
      <c r="B1453" s="111"/>
      <c r="C1453" s="111"/>
      <c r="D1453" s="102"/>
      <c r="E1453" s="130"/>
      <c r="F1453" s="102"/>
      <c r="G1453" s="122"/>
      <c r="H1453" s="10"/>
    </row>
    <row r="1454" spans="2:8" ht="15.75">
      <c r="B1454" s="111"/>
      <c r="C1454" s="111"/>
      <c r="D1454" s="102"/>
      <c r="E1454" s="130"/>
      <c r="F1454" s="102"/>
      <c r="G1454" s="122"/>
      <c r="H1454" s="10"/>
    </row>
    <row r="1455" spans="2:8" ht="15.75">
      <c r="B1455" s="111"/>
      <c r="C1455" s="111"/>
      <c r="D1455" s="102"/>
      <c r="E1455" s="130"/>
      <c r="F1455" s="102"/>
      <c r="G1455" s="122"/>
      <c r="H1455" s="10"/>
    </row>
    <row r="1456" spans="2:8" ht="15.75">
      <c r="B1456" s="111"/>
      <c r="C1456" s="111"/>
      <c r="D1456" s="102"/>
      <c r="E1456" s="130"/>
      <c r="F1456" s="102"/>
      <c r="G1456" s="122"/>
      <c r="H1456" s="10"/>
    </row>
    <row r="1457" spans="2:8" ht="15.75">
      <c r="B1457" s="111"/>
      <c r="C1457" s="111"/>
      <c r="D1457" s="102"/>
      <c r="E1457" s="130"/>
      <c r="F1457" s="102"/>
      <c r="G1457" s="122"/>
      <c r="H1457" s="10"/>
    </row>
    <row r="1458" spans="2:8" ht="15.75">
      <c r="B1458" s="111"/>
      <c r="C1458" s="111"/>
      <c r="D1458" s="102"/>
      <c r="E1458" s="130"/>
      <c r="F1458" s="102"/>
      <c r="G1458" s="122"/>
      <c r="H1458" s="10"/>
    </row>
    <row r="1459" spans="2:8" ht="15.75">
      <c r="B1459" s="111"/>
      <c r="C1459" s="111"/>
      <c r="D1459" s="102"/>
      <c r="E1459" s="130"/>
      <c r="F1459" s="102"/>
      <c r="G1459" s="122"/>
      <c r="H1459" s="10"/>
    </row>
    <row r="1460" spans="2:8" ht="15.75">
      <c r="B1460" s="111"/>
      <c r="C1460" s="111"/>
      <c r="D1460" s="102"/>
      <c r="E1460" s="130"/>
      <c r="F1460" s="102"/>
      <c r="G1460" s="122"/>
      <c r="H1460" s="10"/>
    </row>
    <row r="1461" spans="2:8" ht="15.75">
      <c r="B1461" s="111"/>
      <c r="C1461" s="111"/>
      <c r="D1461" s="102"/>
      <c r="E1461" s="130"/>
      <c r="F1461" s="102"/>
      <c r="G1461" s="122"/>
      <c r="H1461" s="10"/>
    </row>
    <row r="1462" spans="2:8" ht="15.75">
      <c r="B1462" s="111"/>
      <c r="C1462" s="111"/>
      <c r="D1462" s="102"/>
      <c r="E1462" s="130"/>
      <c r="F1462" s="102"/>
      <c r="G1462" s="122"/>
      <c r="H1462" s="10"/>
    </row>
    <row r="1463" spans="2:8" ht="15.75">
      <c r="B1463" s="111"/>
      <c r="C1463" s="111"/>
      <c r="D1463" s="102"/>
      <c r="E1463" s="130"/>
      <c r="F1463" s="102"/>
      <c r="G1463" s="122"/>
      <c r="H1463" s="10"/>
    </row>
    <row r="1464" spans="2:8" ht="15.75">
      <c r="B1464" s="111"/>
      <c r="C1464" s="111"/>
      <c r="D1464" s="102"/>
      <c r="E1464" s="130"/>
      <c r="F1464" s="102"/>
      <c r="G1464" s="122"/>
      <c r="H1464" s="10"/>
    </row>
    <row r="1465" spans="2:8" ht="15.75">
      <c r="B1465" s="111"/>
      <c r="C1465" s="111"/>
      <c r="D1465" s="102"/>
      <c r="E1465" s="130"/>
      <c r="F1465" s="102"/>
      <c r="G1465" s="122"/>
      <c r="H1465" s="10"/>
    </row>
    <row r="1466" spans="2:8" ht="15.75">
      <c r="B1466" s="111"/>
      <c r="C1466" s="111"/>
      <c r="D1466" s="102"/>
      <c r="E1466" s="130"/>
      <c r="F1466" s="102"/>
      <c r="G1466" s="122"/>
      <c r="H1466" s="10"/>
    </row>
    <row r="1467" spans="2:8" ht="15.75">
      <c r="B1467" s="111"/>
      <c r="C1467" s="111"/>
      <c r="D1467" s="102"/>
      <c r="E1467" s="130"/>
      <c r="F1467" s="102"/>
      <c r="G1467" s="122"/>
      <c r="H1467" s="10"/>
    </row>
    <row r="1468" spans="2:8" ht="15.75">
      <c r="B1468" s="111"/>
      <c r="C1468" s="111"/>
      <c r="D1468" s="102"/>
      <c r="E1468" s="130"/>
      <c r="F1468" s="102"/>
      <c r="G1468" s="122"/>
      <c r="H1468" s="10"/>
    </row>
    <row r="1469" spans="2:8" ht="15.75">
      <c r="B1469" s="111"/>
      <c r="C1469" s="111"/>
      <c r="D1469" s="102"/>
      <c r="E1469" s="130"/>
      <c r="F1469" s="102"/>
      <c r="G1469" s="122"/>
      <c r="H1469" s="10"/>
    </row>
    <row r="1470" spans="2:8" ht="15.75">
      <c r="B1470" s="111"/>
      <c r="C1470" s="111"/>
      <c r="D1470" s="102"/>
      <c r="E1470" s="130"/>
      <c r="F1470" s="102"/>
      <c r="G1470" s="122"/>
      <c r="H1470" s="10"/>
    </row>
    <row r="1471" spans="2:8" ht="15.75">
      <c r="B1471" s="111"/>
      <c r="C1471" s="111"/>
      <c r="D1471" s="102"/>
      <c r="E1471" s="130"/>
      <c r="F1471" s="102"/>
      <c r="G1471" s="122"/>
      <c r="H1471" s="10"/>
    </row>
    <row r="1472" spans="2:8" ht="15.75">
      <c r="B1472" s="111"/>
      <c r="C1472" s="111"/>
      <c r="D1472" s="102"/>
      <c r="E1472" s="130"/>
      <c r="F1472" s="102"/>
      <c r="G1472" s="122"/>
      <c r="H1472" s="10"/>
    </row>
    <row r="1473" spans="2:8" ht="15.75">
      <c r="B1473" s="111"/>
      <c r="C1473" s="111"/>
      <c r="D1473" s="102"/>
      <c r="E1473" s="130"/>
      <c r="F1473" s="102"/>
      <c r="G1473" s="122"/>
      <c r="H1473" s="10"/>
    </row>
    <row r="1474" spans="2:8" ht="15.75">
      <c r="B1474" s="111"/>
      <c r="C1474" s="111"/>
      <c r="D1474" s="102"/>
      <c r="E1474" s="130"/>
      <c r="F1474" s="102"/>
      <c r="G1474" s="122"/>
      <c r="H1474" s="10"/>
    </row>
    <row r="1475" spans="2:8" ht="15.75">
      <c r="B1475" s="111"/>
      <c r="C1475" s="111"/>
      <c r="D1475" s="102"/>
      <c r="E1475" s="130"/>
      <c r="F1475" s="102"/>
      <c r="G1475" s="122"/>
      <c r="H1475" s="10"/>
    </row>
    <row r="1476" spans="2:8" ht="15.75">
      <c r="B1476" s="111"/>
      <c r="C1476" s="111"/>
      <c r="D1476" s="102"/>
      <c r="E1476" s="130"/>
      <c r="F1476" s="102"/>
      <c r="G1476" s="122"/>
      <c r="H1476" s="10"/>
    </row>
    <row r="1477" spans="2:8" ht="15.75">
      <c r="B1477" s="111"/>
      <c r="C1477" s="111"/>
      <c r="D1477" s="102"/>
      <c r="E1477" s="130"/>
      <c r="F1477" s="102"/>
      <c r="G1477" s="122"/>
      <c r="H1477" s="10"/>
    </row>
    <row r="1478" spans="2:8" ht="15.75">
      <c r="B1478" s="111"/>
      <c r="C1478" s="111"/>
      <c r="D1478" s="102"/>
      <c r="E1478" s="130"/>
      <c r="F1478" s="102"/>
      <c r="G1478" s="122"/>
      <c r="H1478" s="10"/>
    </row>
    <row r="1479" spans="2:8" ht="15.75">
      <c r="B1479" s="111"/>
      <c r="C1479" s="111"/>
      <c r="D1479" s="102"/>
      <c r="E1479" s="130"/>
      <c r="F1479" s="102"/>
      <c r="G1479" s="122"/>
      <c r="H1479" s="10"/>
    </row>
    <row r="1480" spans="2:8" ht="15.75">
      <c r="B1480" s="111"/>
      <c r="C1480" s="111"/>
      <c r="D1480" s="102"/>
      <c r="E1480" s="130"/>
      <c r="F1480" s="102"/>
      <c r="G1480" s="122"/>
      <c r="H1480" s="10"/>
    </row>
    <row r="1481" spans="2:8" ht="15.75">
      <c r="B1481" s="111"/>
      <c r="C1481" s="111"/>
      <c r="D1481" s="102"/>
      <c r="E1481" s="130"/>
      <c r="F1481" s="102"/>
      <c r="G1481" s="122"/>
      <c r="H1481" s="10"/>
    </row>
    <row r="1482" spans="2:8" ht="15.75">
      <c r="B1482" s="111"/>
      <c r="C1482" s="111"/>
      <c r="D1482" s="102"/>
      <c r="E1482" s="130"/>
      <c r="F1482" s="102"/>
      <c r="G1482" s="122"/>
      <c r="H1482" s="10"/>
    </row>
    <row r="1483" spans="2:8" ht="15.75">
      <c r="B1483" s="111"/>
      <c r="C1483" s="111"/>
      <c r="D1483" s="102"/>
      <c r="E1483" s="130"/>
      <c r="F1483" s="102"/>
      <c r="G1483" s="122"/>
      <c r="H1483" s="10"/>
    </row>
    <row r="1484" spans="2:8" ht="15.75">
      <c r="B1484" s="111"/>
      <c r="C1484" s="111"/>
      <c r="D1484" s="102"/>
      <c r="E1484" s="130"/>
      <c r="F1484" s="102"/>
      <c r="G1484" s="122"/>
      <c r="H1484" s="10"/>
    </row>
    <row r="1485" spans="2:8" ht="15.75">
      <c r="B1485" s="111"/>
      <c r="C1485" s="111"/>
      <c r="D1485" s="102"/>
      <c r="E1485" s="130"/>
      <c r="F1485" s="102"/>
      <c r="G1485" s="122"/>
      <c r="H1485" s="10"/>
    </row>
    <row r="1486" spans="2:8" ht="15.75">
      <c r="B1486" s="111"/>
      <c r="C1486" s="111"/>
      <c r="D1486" s="102"/>
      <c r="E1486" s="130"/>
      <c r="F1486" s="102"/>
      <c r="G1486" s="122"/>
      <c r="H1486" s="10"/>
    </row>
    <row r="1487" spans="2:8" ht="15.75">
      <c r="B1487" s="111"/>
      <c r="C1487" s="111"/>
      <c r="D1487" s="102"/>
      <c r="E1487" s="130"/>
      <c r="F1487" s="102"/>
      <c r="G1487" s="122"/>
      <c r="H1487" s="10"/>
    </row>
    <row r="1488" spans="2:8" ht="15.75">
      <c r="B1488" s="111"/>
      <c r="C1488" s="111"/>
      <c r="D1488" s="102"/>
      <c r="E1488" s="130"/>
      <c r="F1488" s="102"/>
      <c r="G1488" s="122"/>
      <c r="H1488" s="10"/>
    </row>
    <row r="1489" spans="2:8" ht="15.75">
      <c r="B1489" s="111"/>
      <c r="C1489" s="111"/>
      <c r="D1489" s="102"/>
      <c r="E1489" s="130"/>
      <c r="F1489" s="102"/>
      <c r="G1489" s="122"/>
      <c r="H1489" s="10"/>
    </row>
    <row r="1490" spans="2:8" ht="15.75">
      <c r="B1490" s="111"/>
      <c r="C1490" s="111"/>
      <c r="D1490" s="102"/>
      <c r="E1490" s="130"/>
      <c r="F1490" s="102"/>
      <c r="G1490" s="122"/>
      <c r="H1490" s="10"/>
    </row>
    <row r="1491" spans="2:8" ht="15.75">
      <c r="B1491" s="111"/>
      <c r="C1491" s="111"/>
      <c r="D1491" s="102"/>
      <c r="E1491" s="130"/>
      <c r="F1491" s="102"/>
      <c r="G1491" s="122"/>
      <c r="H1491" s="10"/>
    </row>
    <row r="1492" spans="2:8" ht="15.75">
      <c r="B1492" s="111"/>
      <c r="C1492" s="111"/>
      <c r="D1492" s="102"/>
      <c r="E1492" s="130"/>
      <c r="F1492" s="102"/>
      <c r="G1492" s="122"/>
      <c r="H1492" s="10"/>
    </row>
    <row r="1493" spans="2:8" ht="15.75">
      <c r="B1493" s="111"/>
      <c r="C1493" s="111"/>
      <c r="D1493" s="102"/>
      <c r="E1493" s="130"/>
      <c r="F1493" s="102"/>
      <c r="G1493" s="122"/>
      <c r="H1493" s="10"/>
    </row>
    <row r="1494" spans="2:8" ht="15.75">
      <c r="B1494" s="111"/>
      <c r="C1494" s="111"/>
      <c r="D1494" s="102"/>
      <c r="E1494" s="130"/>
      <c r="F1494" s="102"/>
      <c r="G1494" s="122"/>
      <c r="H1494" s="10"/>
    </row>
    <row r="1495" spans="2:8" ht="15.75">
      <c r="B1495" s="111"/>
      <c r="C1495" s="111"/>
      <c r="D1495" s="102"/>
      <c r="E1495" s="130"/>
      <c r="F1495" s="102"/>
      <c r="G1495" s="122"/>
      <c r="H1495" s="10"/>
    </row>
    <row r="1496" spans="2:8" ht="15.75">
      <c r="B1496" s="111"/>
      <c r="C1496" s="111"/>
      <c r="D1496" s="102"/>
      <c r="E1496" s="130"/>
      <c r="F1496" s="102"/>
      <c r="G1496" s="122"/>
      <c r="H1496" s="10"/>
    </row>
    <row r="1497" spans="2:8" ht="15.75">
      <c r="B1497" s="111"/>
      <c r="C1497" s="111"/>
      <c r="D1497" s="102"/>
      <c r="E1497" s="130"/>
      <c r="F1497" s="102"/>
      <c r="G1497" s="122"/>
      <c r="H1497" s="10"/>
    </row>
    <row r="1498" spans="2:8" ht="15.75">
      <c r="B1498" s="111"/>
      <c r="C1498" s="111"/>
      <c r="D1498" s="102"/>
      <c r="E1498" s="130"/>
      <c r="F1498" s="102"/>
      <c r="G1498" s="122"/>
      <c r="H1498" s="10"/>
    </row>
    <row r="1499" spans="2:8" ht="15.75">
      <c r="B1499" s="111"/>
      <c r="C1499" s="111"/>
      <c r="D1499" s="102"/>
      <c r="E1499" s="130"/>
      <c r="F1499" s="102"/>
      <c r="G1499" s="122"/>
      <c r="H1499" s="10"/>
    </row>
    <row r="1500" spans="2:8" ht="15.75">
      <c r="B1500" s="111"/>
      <c r="C1500" s="111"/>
      <c r="D1500" s="102"/>
      <c r="E1500" s="130"/>
      <c r="F1500" s="102"/>
      <c r="G1500" s="122"/>
      <c r="H1500" s="10"/>
    </row>
    <row r="1501" spans="2:8" ht="15.75">
      <c r="B1501" s="111"/>
      <c r="C1501" s="111"/>
      <c r="D1501" s="102"/>
      <c r="E1501" s="130"/>
      <c r="F1501" s="102"/>
      <c r="G1501" s="122"/>
      <c r="H1501" s="10"/>
    </row>
    <row r="1502" spans="2:8" ht="15.75">
      <c r="B1502" s="111"/>
      <c r="C1502" s="111"/>
      <c r="D1502" s="102"/>
      <c r="E1502" s="130"/>
      <c r="F1502" s="102"/>
      <c r="G1502" s="122"/>
      <c r="H1502" s="10"/>
    </row>
    <row r="1503" spans="2:8" ht="15.75">
      <c r="B1503" s="111"/>
      <c r="C1503" s="111"/>
      <c r="D1503" s="102"/>
      <c r="E1503" s="130"/>
      <c r="F1503" s="102"/>
      <c r="G1503" s="122"/>
      <c r="H1503" s="10"/>
    </row>
    <row r="1504" spans="2:8" ht="15.75">
      <c r="B1504" s="111"/>
      <c r="C1504" s="111"/>
      <c r="D1504" s="102"/>
      <c r="E1504" s="130"/>
      <c r="F1504" s="102"/>
      <c r="G1504" s="122"/>
      <c r="H1504" s="10"/>
    </row>
    <row r="1505" spans="2:8" ht="15.75">
      <c r="B1505" s="111"/>
      <c r="C1505" s="111"/>
      <c r="D1505" s="102"/>
      <c r="E1505" s="130"/>
      <c r="F1505" s="102"/>
      <c r="G1505" s="122"/>
      <c r="H1505" s="10"/>
    </row>
    <row r="1506" spans="2:8" ht="15.75">
      <c r="B1506" s="111"/>
      <c r="C1506" s="111"/>
      <c r="D1506" s="102"/>
      <c r="E1506" s="130"/>
      <c r="F1506" s="102"/>
      <c r="G1506" s="122"/>
      <c r="H1506" s="10"/>
    </row>
    <row r="1507" spans="2:8" ht="15.75">
      <c r="B1507" s="111"/>
      <c r="C1507" s="111"/>
      <c r="D1507" s="102"/>
      <c r="E1507" s="130"/>
      <c r="F1507" s="102"/>
      <c r="G1507" s="122"/>
      <c r="H1507" s="10"/>
    </row>
    <row r="1508" spans="2:8" ht="15.75">
      <c r="B1508" s="111"/>
      <c r="C1508" s="111"/>
      <c r="D1508" s="102"/>
      <c r="E1508" s="130"/>
      <c r="F1508" s="102"/>
      <c r="G1508" s="122"/>
      <c r="H1508" s="10"/>
    </row>
    <row r="1509" spans="2:8" ht="15.75">
      <c r="B1509" s="111"/>
      <c r="C1509" s="111"/>
      <c r="D1509" s="102"/>
      <c r="E1509" s="130"/>
      <c r="F1509" s="102"/>
      <c r="G1509" s="122"/>
      <c r="H1509" s="10"/>
    </row>
    <row r="1510" spans="2:8" ht="15.75">
      <c r="B1510" s="111"/>
      <c r="C1510" s="111"/>
      <c r="D1510" s="102"/>
      <c r="E1510" s="130"/>
      <c r="F1510" s="102"/>
      <c r="G1510" s="122"/>
      <c r="H1510" s="10"/>
    </row>
    <row r="1511" spans="2:8" ht="15.75">
      <c r="B1511" s="111"/>
      <c r="C1511" s="111"/>
      <c r="D1511" s="102"/>
      <c r="E1511" s="130"/>
      <c r="F1511" s="102"/>
      <c r="G1511" s="122"/>
      <c r="H1511" s="10"/>
    </row>
    <row r="1512" spans="2:8" ht="15.75">
      <c r="B1512" s="111"/>
      <c r="C1512" s="111"/>
      <c r="D1512" s="102"/>
      <c r="E1512" s="130"/>
      <c r="F1512" s="102"/>
      <c r="G1512" s="122"/>
      <c r="H1512" s="10"/>
    </row>
    <row r="1513" spans="2:8" ht="15.75">
      <c r="B1513" s="111"/>
      <c r="C1513" s="111"/>
      <c r="D1513" s="102"/>
      <c r="E1513" s="130"/>
      <c r="F1513" s="102"/>
      <c r="G1513" s="122"/>
      <c r="H1513" s="10"/>
    </row>
    <row r="1514" spans="2:8" ht="15.75">
      <c r="B1514" s="111"/>
      <c r="C1514" s="111"/>
      <c r="D1514" s="102"/>
      <c r="E1514" s="130"/>
      <c r="F1514" s="102"/>
      <c r="G1514" s="122"/>
      <c r="H1514" s="10"/>
    </row>
    <row r="1515" spans="2:8" ht="15.75">
      <c r="B1515" s="111"/>
      <c r="C1515" s="111"/>
      <c r="D1515" s="102"/>
      <c r="E1515" s="130"/>
      <c r="F1515" s="102"/>
      <c r="G1515" s="122"/>
      <c r="H1515" s="10"/>
    </row>
    <row r="1516" spans="2:8" ht="15.75">
      <c r="B1516" s="111"/>
      <c r="C1516" s="111"/>
      <c r="D1516" s="102"/>
      <c r="E1516" s="130"/>
      <c r="F1516" s="102"/>
      <c r="G1516" s="122"/>
      <c r="H1516" s="10"/>
    </row>
    <row r="1517" spans="2:8" ht="15.75">
      <c r="B1517" s="111"/>
      <c r="C1517" s="111"/>
      <c r="D1517" s="102"/>
      <c r="E1517" s="130"/>
      <c r="F1517" s="102"/>
      <c r="G1517" s="122"/>
      <c r="H1517" s="10"/>
    </row>
    <row r="1518" spans="2:8" ht="15.75">
      <c r="B1518" s="111"/>
      <c r="C1518" s="111"/>
      <c r="D1518" s="102"/>
      <c r="E1518" s="130"/>
      <c r="F1518" s="102"/>
      <c r="G1518" s="122"/>
      <c r="H1518" s="10"/>
    </row>
    <row r="1519" spans="2:8" ht="15.75">
      <c r="B1519" s="111"/>
      <c r="C1519" s="111"/>
      <c r="D1519" s="102"/>
      <c r="E1519" s="130"/>
      <c r="F1519" s="102"/>
      <c r="G1519" s="122"/>
      <c r="H1519" s="10"/>
    </row>
    <row r="1520" spans="2:8" ht="15.75">
      <c r="B1520" s="111"/>
      <c r="C1520" s="111"/>
      <c r="D1520" s="102"/>
      <c r="E1520" s="130"/>
      <c r="F1520" s="102"/>
      <c r="G1520" s="122"/>
      <c r="H1520" s="10"/>
    </row>
    <row r="1521" spans="2:8" ht="15.75">
      <c r="B1521" s="111"/>
      <c r="C1521" s="111"/>
      <c r="D1521" s="102"/>
      <c r="E1521" s="130"/>
      <c r="F1521" s="102"/>
      <c r="G1521" s="122"/>
      <c r="H1521" s="10"/>
    </row>
    <row r="1522" spans="2:8" ht="15.75">
      <c r="B1522" s="111"/>
      <c r="C1522" s="111"/>
      <c r="D1522" s="102"/>
      <c r="E1522" s="130"/>
      <c r="F1522" s="102"/>
      <c r="G1522" s="122"/>
      <c r="H1522" s="10"/>
    </row>
    <row r="1523" spans="2:8" ht="15.75">
      <c r="B1523" s="111"/>
      <c r="C1523" s="111"/>
      <c r="D1523" s="102"/>
      <c r="E1523" s="130"/>
      <c r="F1523" s="102"/>
      <c r="G1523" s="122"/>
      <c r="H1523" s="10"/>
    </row>
    <row r="1524" spans="2:8" ht="15.75">
      <c r="B1524" s="111"/>
      <c r="C1524" s="111"/>
      <c r="D1524" s="102"/>
      <c r="E1524" s="130"/>
      <c r="F1524" s="102"/>
      <c r="G1524" s="122"/>
      <c r="H1524" s="10"/>
    </row>
    <row r="1525" spans="2:8" ht="15.75">
      <c r="B1525" s="111"/>
      <c r="C1525" s="111"/>
      <c r="D1525" s="102"/>
      <c r="E1525" s="130"/>
      <c r="F1525" s="102"/>
      <c r="G1525" s="122"/>
      <c r="H1525" s="10"/>
    </row>
    <row r="1526" spans="2:8" ht="15.75">
      <c r="B1526" s="111"/>
      <c r="C1526" s="111"/>
      <c r="D1526" s="102"/>
      <c r="E1526" s="130"/>
      <c r="F1526" s="102"/>
      <c r="G1526" s="122"/>
      <c r="H1526" s="10"/>
    </row>
    <row r="1527" spans="2:8" ht="15.75">
      <c r="B1527" s="111"/>
      <c r="C1527" s="111"/>
      <c r="D1527" s="102"/>
      <c r="E1527" s="130"/>
      <c r="F1527" s="102"/>
      <c r="G1527" s="122"/>
      <c r="H1527" s="10"/>
    </row>
    <row r="1528" spans="2:8" ht="15.75">
      <c r="B1528" s="111"/>
      <c r="C1528" s="111"/>
      <c r="D1528" s="102"/>
      <c r="E1528" s="130"/>
      <c r="F1528" s="102"/>
      <c r="G1528" s="122"/>
      <c r="H1528" s="10"/>
    </row>
    <row r="1529" spans="2:8" ht="15.75">
      <c r="B1529" s="111"/>
      <c r="C1529" s="111"/>
      <c r="D1529" s="102"/>
      <c r="E1529" s="130"/>
      <c r="F1529" s="102"/>
      <c r="G1529" s="122"/>
      <c r="H1529" s="10"/>
    </row>
    <row r="1530" spans="2:8" ht="15.75">
      <c r="B1530" s="111"/>
      <c r="C1530" s="111"/>
      <c r="D1530" s="102"/>
      <c r="E1530" s="130"/>
      <c r="F1530" s="102"/>
      <c r="G1530" s="122"/>
      <c r="H1530" s="10"/>
    </row>
    <row r="1531" spans="2:8" ht="15.75">
      <c r="B1531" s="111"/>
      <c r="C1531" s="111"/>
      <c r="D1531" s="102"/>
      <c r="E1531" s="130"/>
      <c r="F1531" s="102"/>
      <c r="G1531" s="122"/>
      <c r="H1531" s="10"/>
    </row>
    <row r="1532" spans="2:8" ht="15.75">
      <c r="B1532" s="111"/>
      <c r="C1532" s="111"/>
      <c r="D1532" s="102"/>
      <c r="E1532" s="130"/>
      <c r="F1532" s="102"/>
      <c r="G1532" s="122"/>
      <c r="H1532" s="10"/>
    </row>
    <row r="1533" spans="2:8" ht="15.75">
      <c r="B1533" s="111"/>
      <c r="C1533" s="111"/>
      <c r="D1533" s="102"/>
      <c r="E1533" s="130"/>
      <c r="F1533" s="102"/>
      <c r="G1533" s="122"/>
      <c r="H1533" s="10"/>
    </row>
    <row r="1534" spans="2:8" ht="15.75">
      <c r="B1534" s="111"/>
      <c r="C1534" s="111"/>
      <c r="D1534" s="102"/>
      <c r="E1534" s="130"/>
      <c r="F1534" s="102"/>
      <c r="G1534" s="122"/>
      <c r="H1534" s="10"/>
    </row>
    <row r="1535" spans="2:8" ht="15.75">
      <c r="B1535" s="111"/>
      <c r="C1535" s="111"/>
      <c r="D1535" s="102"/>
      <c r="E1535" s="130"/>
      <c r="F1535" s="102"/>
      <c r="G1535" s="122"/>
      <c r="H1535" s="10"/>
    </row>
    <row r="1536" spans="2:8" ht="15.75">
      <c r="B1536" s="111"/>
      <c r="C1536" s="111"/>
      <c r="D1536" s="102"/>
      <c r="E1536" s="130"/>
      <c r="F1536" s="102"/>
      <c r="G1536" s="122"/>
      <c r="H1536" s="10"/>
    </row>
    <row r="1537" spans="2:8" ht="15.75">
      <c r="B1537" s="111"/>
      <c r="C1537" s="111"/>
      <c r="D1537" s="102"/>
      <c r="E1537" s="130"/>
      <c r="F1537" s="102"/>
      <c r="G1537" s="122"/>
      <c r="H1537" s="10"/>
    </row>
    <row r="1538" spans="2:8" ht="15.75">
      <c r="B1538" s="111"/>
      <c r="C1538" s="111"/>
      <c r="D1538" s="102"/>
      <c r="E1538" s="130"/>
      <c r="F1538" s="102"/>
      <c r="G1538" s="122"/>
      <c r="H1538" s="10"/>
    </row>
    <row r="1539" spans="2:8" ht="15.75">
      <c r="B1539" s="111"/>
      <c r="C1539" s="111"/>
      <c r="D1539" s="102"/>
      <c r="E1539" s="130"/>
      <c r="F1539" s="102"/>
      <c r="G1539" s="122"/>
      <c r="H1539" s="10"/>
    </row>
    <row r="1540" spans="2:8" ht="15.75">
      <c r="B1540" s="111"/>
      <c r="C1540" s="111"/>
      <c r="D1540" s="102"/>
      <c r="E1540" s="130"/>
      <c r="F1540" s="102"/>
      <c r="G1540" s="122"/>
      <c r="H1540" s="10"/>
    </row>
    <row r="1541" spans="2:8" ht="15.75">
      <c r="B1541" s="111"/>
      <c r="C1541" s="111"/>
      <c r="D1541" s="102"/>
      <c r="E1541" s="130"/>
      <c r="F1541" s="102"/>
      <c r="G1541" s="122"/>
      <c r="H1541" s="10"/>
    </row>
    <row r="1542" spans="2:8" ht="15.75">
      <c r="B1542" s="111"/>
      <c r="C1542" s="111"/>
      <c r="D1542" s="102"/>
      <c r="E1542" s="130"/>
      <c r="F1542" s="102"/>
      <c r="G1542" s="122"/>
      <c r="H1542" s="10"/>
    </row>
    <row r="1543" spans="2:8" ht="15.75">
      <c r="B1543" s="111"/>
      <c r="C1543" s="111"/>
      <c r="D1543" s="102"/>
      <c r="E1543" s="130"/>
      <c r="F1543" s="102"/>
      <c r="G1543" s="122"/>
      <c r="H1543" s="10"/>
    </row>
    <row r="1544" spans="2:8" ht="15.75">
      <c r="B1544" s="111"/>
      <c r="C1544" s="111"/>
      <c r="D1544" s="102"/>
      <c r="E1544" s="130"/>
      <c r="F1544" s="102"/>
      <c r="G1544" s="122"/>
      <c r="H1544" s="10"/>
    </row>
    <row r="1545" spans="2:8" ht="15.75">
      <c r="B1545" s="111"/>
      <c r="C1545" s="111"/>
      <c r="D1545" s="102"/>
      <c r="E1545" s="130"/>
      <c r="F1545" s="102"/>
      <c r="G1545" s="122"/>
      <c r="H1545" s="10"/>
    </row>
    <row r="1546" spans="2:8" ht="15.75">
      <c r="B1546" s="111"/>
      <c r="C1546" s="111"/>
      <c r="D1546" s="102"/>
      <c r="E1546" s="130"/>
      <c r="F1546" s="102"/>
      <c r="G1546" s="122"/>
      <c r="H1546" s="10"/>
    </row>
    <row r="1547" spans="2:8" ht="15.75">
      <c r="B1547" s="111"/>
      <c r="C1547" s="111"/>
      <c r="D1547" s="102"/>
      <c r="E1547" s="130"/>
      <c r="F1547" s="102"/>
      <c r="G1547" s="122"/>
      <c r="H1547" s="10"/>
    </row>
    <row r="1548" spans="2:8" ht="15.75">
      <c r="B1548" s="111"/>
      <c r="C1548" s="111"/>
      <c r="D1548" s="102"/>
      <c r="E1548" s="130"/>
      <c r="F1548" s="102"/>
      <c r="G1548" s="122"/>
      <c r="H1548" s="10"/>
    </row>
    <row r="1549" spans="2:8" ht="15.75">
      <c r="B1549" s="111"/>
      <c r="C1549" s="111"/>
      <c r="D1549" s="102"/>
      <c r="E1549" s="130"/>
      <c r="F1549" s="102"/>
      <c r="G1549" s="122"/>
      <c r="H1549" s="10"/>
    </row>
    <row r="1550" spans="2:8" ht="15.75">
      <c r="B1550" s="111"/>
      <c r="C1550" s="111"/>
      <c r="D1550" s="102"/>
      <c r="E1550" s="130"/>
      <c r="F1550" s="102"/>
      <c r="G1550" s="122"/>
      <c r="H1550" s="10"/>
    </row>
    <row r="1551" spans="2:8" ht="15.75">
      <c r="B1551" s="111"/>
      <c r="C1551" s="111"/>
      <c r="D1551" s="102"/>
      <c r="E1551" s="130"/>
      <c r="F1551" s="102"/>
      <c r="G1551" s="122"/>
      <c r="H1551" s="10"/>
    </row>
    <row r="1552" spans="2:8" ht="15.75">
      <c r="B1552" s="111"/>
      <c r="C1552" s="111"/>
      <c r="D1552" s="102"/>
      <c r="E1552" s="130"/>
      <c r="F1552" s="102"/>
      <c r="G1552" s="122"/>
      <c r="H1552" s="10"/>
    </row>
    <row r="1553" spans="2:8" ht="15.75">
      <c r="B1553" s="111"/>
      <c r="C1553" s="111"/>
      <c r="D1553" s="102"/>
      <c r="E1553" s="130"/>
      <c r="F1553" s="102"/>
      <c r="G1553" s="122"/>
      <c r="H1553" s="10"/>
    </row>
    <row r="1554" spans="2:8" ht="15.75">
      <c r="B1554" s="111"/>
      <c r="C1554" s="111"/>
      <c r="D1554" s="102"/>
      <c r="E1554" s="130"/>
      <c r="F1554" s="102"/>
      <c r="G1554" s="122"/>
      <c r="H1554" s="10"/>
    </row>
    <row r="1555" spans="2:8" ht="15.75">
      <c r="B1555" s="111"/>
      <c r="C1555" s="111"/>
      <c r="D1555" s="102"/>
      <c r="E1555" s="130"/>
      <c r="F1555" s="102"/>
      <c r="G1555" s="122"/>
      <c r="H1555" s="10"/>
    </row>
    <row r="1556" spans="2:8" ht="15.75">
      <c r="B1556" s="111"/>
      <c r="C1556" s="111"/>
      <c r="D1556" s="102"/>
      <c r="E1556" s="130"/>
      <c r="F1556" s="102"/>
      <c r="G1556" s="122"/>
      <c r="H1556" s="10"/>
    </row>
    <row r="1557" spans="2:8" ht="15.75">
      <c r="B1557" s="111"/>
      <c r="C1557" s="111"/>
      <c r="D1557" s="102"/>
      <c r="E1557" s="130"/>
      <c r="F1557" s="102"/>
      <c r="G1557" s="122"/>
      <c r="H1557" s="10"/>
    </row>
    <row r="1558" spans="2:8" ht="15.75">
      <c r="B1558" s="111"/>
      <c r="C1558" s="111"/>
      <c r="D1558" s="102"/>
      <c r="E1558" s="130"/>
      <c r="F1558" s="102"/>
      <c r="G1558" s="122"/>
      <c r="H1558" s="10"/>
    </row>
    <row r="1559" spans="2:8" ht="15.75">
      <c r="B1559" s="111"/>
      <c r="C1559" s="111"/>
      <c r="D1559" s="102"/>
      <c r="E1559" s="130"/>
      <c r="F1559" s="102"/>
      <c r="G1559" s="122"/>
      <c r="H1559" s="10"/>
    </row>
    <row r="1560" spans="2:8" ht="15.75">
      <c r="B1560" s="111"/>
      <c r="C1560" s="111"/>
      <c r="D1560" s="102"/>
      <c r="E1560" s="130"/>
      <c r="F1560" s="102"/>
      <c r="G1560" s="122"/>
      <c r="H1560" s="10"/>
    </row>
    <row r="1561" spans="2:8" ht="15.75">
      <c r="B1561" s="111"/>
      <c r="C1561" s="111"/>
      <c r="D1561" s="102"/>
      <c r="E1561" s="130"/>
      <c r="F1561" s="102"/>
      <c r="G1561" s="122"/>
      <c r="H1561" s="10"/>
    </row>
    <row r="1562" spans="2:8" ht="15.75">
      <c r="B1562" s="111"/>
      <c r="C1562" s="111"/>
      <c r="D1562" s="102"/>
      <c r="E1562" s="130"/>
      <c r="F1562" s="102"/>
      <c r="G1562" s="122"/>
      <c r="H1562" s="10"/>
    </row>
    <row r="1563" spans="2:8" ht="15.75">
      <c r="B1563" s="111"/>
      <c r="C1563" s="111"/>
      <c r="D1563" s="102"/>
      <c r="E1563" s="130"/>
      <c r="F1563" s="102"/>
      <c r="G1563" s="122"/>
      <c r="H1563" s="10"/>
    </row>
    <row r="1564" spans="2:8" ht="15.75">
      <c r="B1564" s="111"/>
      <c r="C1564" s="111"/>
      <c r="D1564" s="102"/>
      <c r="E1564" s="130"/>
      <c r="F1564" s="102"/>
      <c r="G1564" s="122"/>
      <c r="H1564" s="10"/>
    </row>
    <row r="1565" spans="2:8" ht="15.75">
      <c r="B1565" s="111"/>
      <c r="C1565" s="111"/>
      <c r="D1565" s="102"/>
      <c r="E1565" s="130"/>
      <c r="F1565" s="102"/>
      <c r="G1565" s="122"/>
      <c r="H1565" s="10"/>
    </row>
    <row r="1566" spans="2:8" ht="15.75">
      <c r="B1566" s="111"/>
      <c r="C1566" s="111"/>
      <c r="D1566" s="102"/>
      <c r="E1566" s="130"/>
      <c r="F1566" s="102"/>
      <c r="G1566" s="122"/>
      <c r="H1566" s="10"/>
    </row>
    <row r="1567" spans="2:8" ht="15.75">
      <c r="B1567" s="111"/>
      <c r="C1567" s="111"/>
      <c r="D1567" s="102"/>
      <c r="E1567" s="130"/>
      <c r="F1567" s="102"/>
      <c r="G1567" s="122"/>
      <c r="H1567" s="10"/>
    </row>
    <row r="1568" spans="2:8" ht="15.75">
      <c r="B1568" s="111"/>
      <c r="C1568" s="111"/>
      <c r="D1568" s="102"/>
      <c r="E1568" s="130"/>
      <c r="F1568" s="102"/>
      <c r="G1568" s="122"/>
      <c r="H1568" s="10"/>
    </row>
    <row r="1569" spans="2:8" ht="15.75">
      <c r="B1569" s="111"/>
      <c r="C1569" s="111"/>
      <c r="D1569" s="102"/>
      <c r="E1569" s="130"/>
      <c r="F1569" s="102"/>
      <c r="G1569" s="122"/>
      <c r="H1569" s="10"/>
    </row>
    <row r="1570" spans="2:8" ht="15.75">
      <c r="B1570" s="111"/>
      <c r="C1570" s="111"/>
      <c r="D1570" s="102"/>
      <c r="E1570" s="130"/>
      <c r="F1570" s="102"/>
      <c r="G1570" s="122"/>
      <c r="H1570" s="10"/>
    </row>
    <row r="1571" spans="2:8" ht="15.75">
      <c r="B1571" s="111"/>
      <c r="C1571" s="111"/>
      <c r="D1571" s="102"/>
      <c r="E1571" s="130"/>
      <c r="F1571" s="102"/>
      <c r="G1571" s="122"/>
      <c r="H1571" s="10"/>
    </row>
    <row r="1572" spans="2:8" ht="15.75">
      <c r="B1572" s="111"/>
      <c r="C1572" s="111"/>
      <c r="D1572" s="102"/>
      <c r="E1572" s="130"/>
      <c r="F1572" s="102"/>
      <c r="G1572" s="122"/>
      <c r="H1572" s="10"/>
    </row>
    <row r="1573" spans="2:8" ht="15.75">
      <c r="B1573" s="111"/>
      <c r="C1573" s="111"/>
      <c r="D1573" s="102"/>
      <c r="E1573" s="130"/>
      <c r="F1573" s="102"/>
      <c r="G1573" s="122"/>
      <c r="H1573" s="10"/>
    </row>
    <row r="1574" spans="2:8" ht="15.75">
      <c r="B1574" s="111"/>
      <c r="C1574" s="111"/>
      <c r="D1574" s="102"/>
      <c r="E1574" s="130"/>
      <c r="F1574" s="102"/>
      <c r="G1574" s="122"/>
      <c r="H1574" s="10"/>
    </row>
    <row r="1575" spans="2:8" ht="15.75">
      <c r="B1575" s="111"/>
      <c r="C1575" s="111"/>
      <c r="D1575" s="102"/>
      <c r="E1575" s="130"/>
      <c r="F1575" s="102"/>
      <c r="G1575" s="122"/>
      <c r="H1575" s="10"/>
    </row>
    <row r="1576" spans="2:8" ht="15.75">
      <c r="B1576" s="111"/>
      <c r="C1576" s="111"/>
      <c r="D1576" s="102"/>
      <c r="E1576" s="130"/>
      <c r="F1576" s="102"/>
      <c r="G1576" s="122"/>
      <c r="H1576" s="10"/>
    </row>
    <row r="1577" spans="2:8" ht="15.75">
      <c r="B1577" s="111"/>
      <c r="C1577" s="111"/>
      <c r="D1577" s="102"/>
      <c r="E1577" s="130"/>
      <c r="F1577" s="102"/>
      <c r="G1577" s="122"/>
      <c r="H1577" s="10"/>
    </row>
    <row r="1578" spans="2:8" ht="15.75">
      <c r="B1578" s="111"/>
      <c r="C1578" s="111"/>
      <c r="D1578" s="102"/>
      <c r="E1578" s="130"/>
      <c r="F1578" s="102"/>
      <c r="G1578" s="122"/>
      <c r="H1578" s="10"/>
    </row>
    <row r="1579" spans="2:8" ht="15.75">
      <c r="B1579" s="111"/>
      <c r="C1579" s="111"/>
      <c r="D1579" s="102"/>
      <c r="E1579" s="130"/>
      <c r="F1579" s="102"/>
      <c r="G1579" s="122"/>
      <c r="H1579" s="10"/>
    </row>
    <row r="1580" spans="2:8" ht="15.75">
      <c r="B1580" s="111"/>
      <c r="C1580" s="111"/>
      <c r="D1580" s="102"/>
      <c r="E1580" s="130"/>
      <c r="F1580" s="102"/>
      <c r="G1580" s="122"/>
      <c r="H1580" s="10"/>
    </row>
    <row r="1581" spans="2:8" ht="15.75">
      <c r="B1581" s="111"/>
      <c r="C1581" s="111"/>
      <c r="D1581" s="102"/>
      <c r="E1581" s="130"/>
      <c r="F1581" s="102"/>
      <c r="G1581" s="122"/>
      <c r="H1581" s="10"/>
    </row>
    <row r="1582" spans="2:8" ht="15.75">
      <c r="B1582" s="111"/>
      <c r="C1582" s="111"/>
      <c r="D1582" s="102"/>
      <c r="E1582" s="130"/>
      <c r="F1582" s="102"/>
      <c r="G1582" s="122"/>
      <c r="H1582" s="10"/>
    </row>
    <row r="1583" spans="2:8" ht="15.75">
      <c r="B1583" s="111"/>
      <c r="C1583" s="111"/>
      <c r="D1583" s="102"/>
      <c r="E1583" s="130"/>
      <c r="F1583" s="102"/>
      <c r="G1583" s="122"/>
      <c r="H1583" s="10"/>
    </row>
    <row r="1584" spans="2:8" ht="15.75">
      <c r="B1584" s="111"/>
      <c r="C1584" s="111"/>
      <c r="D1584" s="102"/>
      <c r="E1584" s="130"/>
      <c r="F1584" s="102"/>
      <c r="G1584" s="122"/>
      <c r="H1584" s="10"/>
    </row>
    <row r="1585" spans="2:8" ht="15.75">
      <c r="B1585" s="111"/>
      <c r="C1585" s="111"/>
      <c r="D1585" s="102"/>
      <c r="E1585" s="130"/>
      <c r="F1585" s="102"/>
      <c r="G1585" s="122"/>
      <c r="H1585" s="10"/>
    </row>
    <row r="1586" spans="2:8" ht="15.75">
      <c r="B1586" s="111"/>
      <c r="C1586" s="111"/>
      <c r="D1586" s="102"/>
      <c r="E1586" s="130"/>
      <c r="F1586" s="102"/>
      <c r="G1586" s="122"/>
      <c r="H1586" s="10"/>
    </row>
    <row r="1587" spans="2:8" ht="15.75">
      <c r="B1587" s="111"/>
      <c r="C1587" s="111"/>
      <c r="D1587" s="102"/>
      <c r="E1587" s="130"/>
      <c r="F1587" s="102"/>
      <c r="G1587" s="122"/>
      <c r="H1587" s="10"/>
    </row>
    <row r="1588" spans="2:8" ht="15.75">
      <c r="B1588" s="111"/>
      <c r="C1588" s="111"/>
      <c r="D1588" s="102"/>
      <c r="E1588" s="130"/>
      <c r="F1588" s="102"/>
      <c r="G1588" s="122"/>
      <c r="H1588" s="10"/>
    </row>
    <row r="1589" spans="2:8" ht="15.75">
      <c r="B1589" s="111"/>
      <c r="C1589" s="111"/>
      <c r="D1589" s="102"/>
      <c r="E1589" s="130"/>
      <c r="F1589" s="102"/>
      <c r="G1589" s="122"/>
      <c r="H1589" s="10"/>
    </row>
    <row r="1590" spans="2:8" ht="15.75">
      <c r="B1590" s="111"/>
      <c r="C1590" s="111"/>
      <c r="D1590" s="102"/>
      <c r="E1590" s="130"/>
      <c r="F1590" s="102"/>
      <c r="G1590" s="122"/>
      <c r="H1590" s="10"/>
    </row>
    <row r="1591" spans="2:8" ht="15.75">
      <c r="B1591" s="111"/>
      <c r="C1591" s="111"/>
      <c r="D1591" s="102"/>
      <c r="E1591" s="130"/>
      <c r="F1591" s="102"/>
      <c r="G1591" s="122"/>
      <c r="H1591" s="10"/>
    </row>
    <row r="1592" spans="2:8" ht="15.75">
      <c r="B1592" s="111"/>
      <c r="C1592" s="111"/>
      <c r="D1592" s="102"/>
      <c r="E1592" s="130"/>
      <c r="F1592" s="102"/>
      <c r="G1592" s="122"/>
      <c r="H1592" s="10"/>
    </row>
    <row r="1593" spans="2:8" ht="15.75">
      <c r="B1593" s="111"/>
      <c r="C1593" s="111"/>
      <c r="D1593" s="102"/>
      <c r="E1593" s="130"/>
      <c r="F1593" s="102"/>
      <c r="G1593" s="122"/>
      <c r="H1593" s="10"/>
    </row>
    <row r="1594" spans="2:8" ht="15.75">
      <c r="B1594" s="111"/>
      <c r="C1594" s="111"/>
      <c r="D1594" s="102"/>
      <c r="E1594" s="130"/>
      <c r="F1594" s="102"/>
      <c r="G1594" s="122"/>
      <c r="H1594" s="10"/>
    </row>
    <row r="1595" spans="2:8" ht="15.75">
      <c r="B1595" s="111"/>
      <c r="C1595" s="111"/>
      <c r="D1595" s="102"/>
      <c r="E1595" s="130"/>
      <c r="F1595" s="102"/>
      <c r="G1595" s="122"/>
      <c r="H1595" s="10"/>
    </row>
    <row r="1596" spans="2:8" ht="15.75">
      <c r="B1596" s="111"/>
      <c r="C1596" s="111"/>
      <c r="D1596" s="102"/>
      <c r="E1596" s="130"/>
      <c r="F1596" s="102"/>
      <c r="G1596" s="122"/>
      <c r="H1596" s="10"/>
    </row>
    <row r="1597" spans="2:8" ht="15.75">
      <c r="B1597" s="111"/>
      <c r="C1597" s="111"/>
      <c r="D1597" s="102"/>
      <c r="E1597" s="130"/>
      <c r="F1597" s="102"/>
      <c r="G1597" s="122"/>
      <c r="H1597" s="10"/>
    </row>
    <row r="1598" spans="2:8" ht="15.75">
      <c r="B1598" s="111"/>
      <c r="C1598" s="111"/>
      <c r="D1598" s="102"/>
      <c r="E1598" s="130"/>
      <c r="F1598" s="102"/>
      <c r="G1598" s="122"/>
      <c r="H1598" s="10"/>
    </row>
    <row r="1599" spans="2:8" ht="15.75">
      <c r="B1599" s="111"/>
      <c r="C1599" s="111"/>
      <c r="D1599" s="102"/>
      <c r="E1599" s="130"/>
      <c r="F1599" s="102"/>
      <c r="G1599" s="122"/>
      <c r="H1599" s="10"/>
    </row>
    <row r="1600" spans="2:8" ht="15.75">
      <c r="B1600" s="111"/>
      <c r="C1600" s="111"/>
      <c r="D1600" s="102"/>
      <c r="E1600" s="130"/>
      <c r="F1600" s="102"/>
      <c r="G1600" s="122"/>
      <c r="H1600" s="10"/>
    </row>
    <row r="1601" spans="2:8" ht="15.75">
      <c r="B1601" s="111"/>
      <c r="C1601" s="111"/>
      <c r="D1601" s="102"/>
      <c r="E1601" s="130"/>
      <c r="F1601" s="102"/>
      <c r="G1601" s="122"/>
      <c r="H1601" s="10"/>
    </row>
    <row r="1602" spans="2:8" ht="15.75">
      <c r="B1602" s="111"/>
      <c r="C1602" s="111"/>
      <c r="D1602" s="102"/>
      <c r="E1602" s="130"/>
      <c r="F1602" s="102"/>
      <c r="G1602" s="122"/>
      <c r="H1602" s="10"/>
    </row>
    <row r="1603" spans="2:8" ht="15.75">
      <c r="B1603" s="111"/>
      <c r="C1603" s="111"/>
      <c r="D1603" s="102"/>
      <c r="E1603" s="130"/>
      <c r="F1603" s="102"/>
      <c r="G1603" s="122"/>
      <c r="H1603" s="10"/>
    </row>
    <row r="1604" spans="2:8" ht="15.75">
      <c r="B1604" s="111"/>
      <c r="C1604" s="111"/>
      <c r="D1604" s="102"/>
      <c r="E1604" s="130"/>
      <c r="F1604" s="102"/>
      <c r="G1604" s="122"/>
      <c r="H1604" s="10"/>
    </row>
    <row r="1605" spans="2:8" ht="15.75">
      <c r="B1605" s="111"/>
      <c r="C1605" s="111"/>
      <c r="D1605" s="102"/>
      <c r="E1605" s="130"/>
      <c r="F1605" s="102"/>
      <c r="G1605" s="122"/>
      <c r="H1605" s="10"/>
    </row>
    <row r="1606" spans="2:8" ht="15.75">
      <c r="B1606" s="111"/>
      <c r="C1606" s="111"/>
      <c r="D1606" s="102"/>
      <c r="E1606" s="130"/>
      <c r="F1606" s="102"/>
      <c r="G1606" s="122"/>
      <c r="H1606" s="10"/>
    </row>
    <row r="1607" spans="2:8" ht="15.75">
      <c r="B1607" s="111"/>
      <c r="C1607" s="111"/>
      <c r="D1607" s="102"/>
      <c r="E1607" s="130"/>
      <c r="F1607" s="102"/>
      <c r="G1607" s="122"/>
      <c r="H1607" s="10"/>
    </row>
    <row r="1608" spans="2:8" ht="15.75">
      <c r="B1608" s="111"/>
      <c r="C1608" s="111"/>
      <c r="D1608" s="102"/>
      <c r="E1608" s="130"/>
      <c r="F1608" s="102"/>
      <c r="G1608" s="122"/>
      <c r="H1608" s="10"/>
    </row>
    <row r="1609" spans="2:8" ht="15.75">
      <c r="B1609" s="111"/>
      <c r="C1609" s="111"/>
      <c r="D1609" s="102"/>
      <c r="E1609" s="130"/>
      <c r="F1609" s="102"/>
      <c r="G1609" s="122"/>
      <c r="H1609" s="10"/>
    </row>
    <row r="1610" spans="2:8" ht="15.75">
      <c r="B1610" s="111"/>
      <c r="C1610" s="111"/>
      <c r="D1610" s="102"/>
      <c r="E1610" s="130"/>
      <c r="F1610" s="102"/>
      <c r="G1610" s="122"/>
      <c r="H1610" s="10"/>
    </row>
    <row r="1611" spans="2:8" ht="15.75">
      <c r="B1611" s="111"/>
      <c r="C1611" s="111"/>
      <c r="D1611" s="102"/>
      <c r="E1611" s="130"/>
      <c r="F1611" s="102"/>
      <c r="G1611" s="122"/>
      <c r="H1611" s="10"/>
    </row>
    <row r="1612" spans="2:8" ht="15.75">
      <c r="B1612" s="111"/>
      <c r="C1612" s="111"/>
      <c r="D1612" s="102"/>
      <c r="E1612" s="130"/>
      <c r="F1612" s="102"/>
      <c r="G1612" s="122"/>
      <c r="H1612" s="10"/>
    </row>
    <row r="1613" spans="2:8" ht="15.75">
      <c r="B1613" s="111"/>
      <c r="C1613" s="111"/>
      <c r="D1613" s="102"/>
      <c r="E1613" s="130"/>
      <c r="F1613" s="102"/>
      <c r="G1613" s="122"/>
      <c r="H1613" s="10"/>
    </row>
    <row r="1614" spans="2:8" ht="15.75">
      <c r="B1614" s="111"/>
      <c r="C1614" s="111"/>
      <c r="D1614" s="102"/>
      <c r="E1614" s="130"/>
      <c r="F1614" s="102"/>
      <c r="G1614" s="122"/>
      <c r="H1614" s="10"/>
    </row>
    <row r="1615" spans="2:8" ht="15.75">
      <c r="B1615" s="111"/>
      <c r="C1615" s="111"/>
      <c r="D1615" s="102"/>
      <c r="E1615" s="130"/>
      <c r="F1615" s="102"/>
      <c r="G1615" s="122"/>
      <c r="H1615" s="10"/>
    </row>
    <row r="1616" spans="2:8" ht="15.75">
      <c r="B1616" s="111"/>
      <c r="C1616" s="111"/>
      <c r="D1616" s="102"/>
      <c r="E1616" s="130"/>
      <c r="F1616" s="102"/>
      <c r="G1616" s="122"/>
      <c r="H1616" s="10"/>
    </row>
    <row r="1617" spans="2:8" ht="15.75">
      <c r="B1617" s="111"/>
      <c r="C1617" s="111"/>
      <c r="D1617" s="102"/>
      <c r="E1617" s="130"/>
      <c r="F1617" s="102"/>
      <c r="G1617" s="122"/>
      <c r="H1617" s="10"/>
    </row>
    <row r="1618" spans="2:8" ht="15.75">
      <c r="B1618" s="111"/>
      <c r="C1618" s="111"/>
      <c r="D1618" s="102"/>
      <c r="E1618" s="130"/>
      <c r="F1618" s="102"/>
      <c r="G1618" s="122"/>
      <c r="H1618" s="10"/>
    </row>
    <row r="1619" spans="2:8" ht="15.75">
      <c r="B1619" s="111"/>
      <c r="C1619" s="111"/>
      <c r="D1619" s="102"/>
      <c r="E1619" s="130"/>
      <c r="F1619" s="102"/>
      <c r="G1619" s="122"/>
      <c r="H1619" s="10"/>
    </row>
    <row r="1620" spans="2:8" ht="15.75">
      <c r="B1620" s="111"/>
      <c r="C1620" s="111"/>
      <c r="D1620" s="102"/>
      <c r="E1620" s="130"/>
      <c r="F1620" s="102"/>
      <c r="G1620" s="122"/>
      <c r="H1620" s="10"/>
    </row>
    <row r="1621" spans="2:8" ht="15.75">
      <c r="B1621" s="111"/>
      <c r="C1621" s="111"/>
      <c r="D1621" s="102"/>
      <c r="E1621" s="130"/>
      <c r="F1621" s="102"/>
      <c r="G1621" s="122"/>
      <c r="H1621" s="10"/>
    </row>
    <row r="1622" spans="2:8" ht="15.75">
      <c r="B1622" s="111"/>
      <c r="C1622" s="111"/>
      <c r="D1622" s="102"/>
      <c r="E1622" s="130"/>
      <c r="F1622" s="102"/>
      <c r="G1622" s="122"/>
      <c r="H1622" s="10"/>
    </row>
    <row r="1623" spans="2:8" ht="15.75">
      <c r="B1623" s="111"/>
      <c r="C1623" s="111"/>
      <c r="D1623" s="102"/>
      <c r="E1623" s="130"/>
      <c r="F1623" s="102"/>
      <c r="G1623" s="122"/>
      <c r="H1623" s="10"/>
    </row>
    <row r="1624" spans="2:8" ht="15.75">
      <c r="B1624" s="111"/>
      <c r="C1624" s="111"/>
      <c r="D1624" s="102"/>
      <c r="E1624" s="130"/>
      <c r="F1624" s="102"/>
      <c r="G1624" s="122"/>
      <c r="H1624" s="10"/>
    </row>
    <row r="1625" spans="2:8" ht="15.75">
      <c r="B1625" s="111"/>
      <c r="C1625" s="111"/>
      <c r="D1625" s="102"/>
      <c r="E1625" s="130"/>
      <c r="F1625" s="102"/>
      <c r="G1625" s="122"/>
      <c r="H1625" s="10"/>
    </row>
    <row r="1626" spans="2:8" ht="15.75">
      <c r="B1626" s="111"/>
      <c r="C1626" s="111"/>
      <c r="D1626" s="102"/>
      <c r="E1626" s="130"/>
      <c r="F1626" s="102"/>
      <c r="G1626" s="122"/>
      <c r="H1626" s="10"/>
    </row>
    <row r="1627" spans="2:8" ht="15.75">
      <c r="B1627" s="111"/>
      <c r="C1627" s="111"/>
      <c r="D1627" s="102"/>
      <c r="E1627" s="130"/>
      <c r="F1627" s="102"/>
      <c r="G1627" s="122"/>
      <c r="H1627" s="10"/>
    </row>
    <row r="1628" spans="2:8" ht="15.75">
      <c r="B1628" s="111"/>
      <c r="C1628" s="111"/>
      <c r="D1628" s="102"/>
      <c r="E1628" s="130"/>
      <c r="F1628" s="102"/>
      <c r="G1628" s="122"/>
      <c r="H1628" s="10"/>
    </row>
    <row r="1629" spans="2:8" ht="15.75">
      <c r="B1629" s="111"/>
      <c r="C1629" s="111"/>
      <c r="D1629" s="102"/>
      <c r="E1629" s="130"/>
      <c r="F1629" s="102"/>
      <c r="G1629" s="122"/>
      <c r="H1629" s="10"/>
    </row>
    <row r="1630" spans="2:8" ht="15.75">
      <c r="B1630" s="111"/>
      <c r="C1630" s="111"/>
      <c r="D1630" s="102"/>
      <c r="E1630" s="130"/>
      <c r="F1630" s="102"/>
      <c r="G1630" s="122"/>
      <c r="H1630" s="10"/>
    </row>
    <row r="1631" spans="2:8" ht="15.75">
      <c r="B1631" s="111"/>
      <c r="C1631" s="111"/>
      <c r="D1631" s="102"/>
      <c r="E1631" s="130"/>
      <c r="F1631" s="102"/>
      <c r="G1631" s="122"/>
      <c r="H1631" s="10"/>
    </row>
    <row r="1632" spans="2:8" ht="15.75">
      <c r="B1632" s="111"/>
      <c r="C1632" s="111"/>
      <c r="D1632" s="102"/>
      <c r="E1632" s="130"/>
      <c r="F1632" s="102"/>
      <c r="G1632" s="122"/>
      <c r="H1632" s="10"/>
    </row>
    <row r="1633" spans="2:8" ht="15.75">
      <c r="B1633" s="111"/>
      <c r="C1633" s="111"/>
      <c r="D1633" s="102"/>
      <c r="E1633" s="130"/>
      <c r="F1633" s="102"/>
      <c r="G1633" s="122"/>
      <c r="H1633" s="10"/>
    </row>
    <row r="1634" spans="2:8" ht="15.75">
      <c r="B1634" s="111"/>
      <c r="C1634" s="111"/>
      <c r="D1634" s="102"/>
      <c r="E1634" s="130"/>
      <c r="F1634" s="102"/>
      <c r="G1634" s="122"/>
      <c r="H1634" s="10"/>
    </row>
    <row r="1635" spans="2:8" ht="15.75">
      <c r="B1635" s="111"/>
      <c r="C1635" s="111"/>
      <c r="D1635" s="102"/>
      <c r="E1635" s="130"/>
      <c r="F1635" s="102"/>
      <c r="G1635" s="122"/>
      <c r="H1635" s="10"/>
    </row>
    <row r="1636" spans="2:8" ht="15.75">
      <c r="B1636" s="111"/>
      <c r="C1636" s="111"/>
      <c r="D1636" s="102"/>
      <c r="E1636" s="130"/>
      <c r="F1636" s="102"/>
      <c r="G1636" s="122"/>
      <c r="H1636" s="10"/>
    </row>
    <row r="1637" spans="2:8" ht="15.75">
      <c r="B1637" s="111"/>
      <c r="C1637" s="111"/>
      <c r="D1637" s="102"/>
      <c r="E1637" s="130"/>
      <c r="F1637" s="102"/>
      <c r="G1637" s="122"/>
      <c r="H1637" s="10"/>
    </row>
    <row r="1638" spans="2:8" ht="15.75">
      <c r="B1638" s="111"/>
      <c r="C1638" s="111"/>
      <c r="D1638" s="102"/>
      <c r="E1638" s="130"/>
      <c r="F1638" s="102"/>
      <c r="G1638" s="122"/>
      <c r="H1638" s="10"/>
    </row>
    <row r="1639" spans="2:8" ht="15.75">
      <c r="B1639" s="111"/>
      <c r="C1639" s="111"/>
      <c r="D1639" s="102"/>
      <c r="E1639" s="130"/>
      <c r="F1639" s="102"/>
      <c r="G1639" s="122"/>
      <c r="H1639" s="10"/>
    </row>
    <row r="1640" spans="2:8" ht="15.75">
      <c r="B1640" s="111"/>
      <c r="C1640" s="111"/>
      <c r="D1640" s="102"/>
      <c r="E1640" s="130"/>
      <c r="F1640" s="102"/>
      <c r="G1640" s="122"/>
      <c r="H1640" s="10"/>
    </row>
    <row r="1641" spans="2:8" ht="15.75">
      <c r="B1641" s="111"/>
      <c r="C1641" s="111"/>
      <c r="D1641" s="102"/>
      <c r="E1641" s="130"/>
      <c r="F1641" s="102"/>
      <c r="G1641" s="122"/>
      <c r="H1641" s="10"/>
    </row>
    <row r="1642" spans="2:8" ht="15.75">
      <c r="B1642" s="111"/>
      <c r="C1642" s="111"/>
      <c r="D1642" s="102"/>
      <c r="E1642" s="130"/>
      <c r="F1642" s="102"/>
      <c r="G1642" s="122"/>
      <c r="H1642" s="10"/>
    </row>
    <row r="1643" spans="2:8" ht="15.75">
      <c r="B1643" s="111"/>
      <c r="C1643" s="111"/>
      <c r="D1643" s="102"/>
      <c r="E1643" s="130"/>
      <c r="F1643" s="102"/>
      <c r="G1643" s="122"/>
      <c r="H1643" s="10"/>
    </row>
    <row r="1644" spans="2:8" ht="15.75">
      <c r="B1644" s="111"/>
      <c r="C1644" s="111"/>
      <c r="D1644" s="102"/>
      <c r="E1644" s="130"/>
      <c r="F1644" s="102"/>
      <c r="G1644" s="122"/>
      <c r="H1644" s="10"/>
    </row>
    <row r="1645" spans="2:8" ht="15.75">
      <c r="B1645" s="111"/>
      <c r="C1645" s="111"/>
      <c r="D1645" s="102"/>
      <c r="E1645" s="130"/>
      <c r="F1645" s="102"/>
      <c r="G1645" s="122"/>
      <c r="H1645" s="10"/>
    </row>
    <row r="1646" spans="2:8" ht="15.75">
      <c r="B1646" s="111"/>
      <c r="C1646" s="111"/>
      <c r="D1646" s="102"/>
      <c r="E1646" s="130"/>
      <c r="F1646" s="102"/>
      <c r="G1646" s="122"/>
      <c r="H1646" s="10"/>
    </row>
    <row r="1647" spans="2:8" ht="15.75">
      <c r="B1647" s="111"/>
      <c r="C1647" s="111"/>
      <c r="D1647" s="102"/>
      <c r="E1647" s="130"/>
      <c r="F1647" s="102"/>
      <c r="G1647" s="122"/>
      <c r="H1647" s="10"/>
    </row>
    <row r="1648" spans="2:8" ht="15.75">
      <c r="B1648" s="111"/>
      <c r="C1648" s="111"/>
      <c r="D1648" s="102"/>
      <c r="E1648" s="130"/>
      <c r="F1648" s="102"/>
      <c r="G1648" s="122"/>
      <c r="H1648" s="10"/>
    </row>
    <row r="1649" spans="2:8" ht="15.75">
      <c r="B1649" s="111"/>
      <c r="C1649" s="111"/>
      <c r="D1649" s="102"/>
      <c r="E1649" s="130"/>
      <c r="F1649" s="102"/>
      <c r="G1649" s="122"/>
      <c r="H1649" s="10"/>
    </row>
    <row r="1650" spans="2:8" ht="15.75">
      <c r="B1650" s="111"/>
      <c r="C1650" s="111"/>
      <c r="D1650" s="102"/>
      <c r="E1650" s="130"/>
      <c r="F1650" s="102"/>
      <c r="G1650" s="122"/>
      <c r="H1650" s="10"/>
    </row>
    <row r="1651" spans="2:8" ht="15.75">
      <c r="B1651" s="111"/>
      <c r="C1651" s="111"/>
      <c r="D1651" s="102"/>
      <c r="E1651" s="130"/>
      <c r="F1651" s="102"/>
      <c r="G1651" s="122"/>
      <c r="H1651" s="10"/>
    </row>
    <row r="1652" spans="2:8" ht="15.75">
      <c r="B1652" s="111"/>
      <c r="C1652" s="111"/>
      <c r="D1652" s="102"/>
      <c r="E1652" s="130"/>
      <c r="F1652" s="102"/>
      <c r="G1652" s="122"/>
      <c r="H1652" s="10"/>
    </row>
    <row r="1653" spans="2:8" ht="15.75">
      <c r="B1653" s="111"/>
      <c r="C1653" s="111"/>
      <c r="D1653" s="102"/>
      <c r="E1653" s="130"/>
      <c r="F1653" s="102"/>
      <c r="G1653" s="122"/>
      <c r="H1653" s="10"/>
    </row>
    <row r="1654" spans="2:8" ht="15.75">
      <c r="B1654" s="111"/>
      <c r="C1654" s="111"/>
      <c r="D1654" s="102"/>
      <c r="E1654" s="130"/>
      <c r="F1654" s="102"/>
      <c r="G1654" s="122"/>
      <c r="H1654" s="10"/>
    </row>
    <row r="1655" spans="2:8" ht="15.75">
      <c r="B1655" s="111"/>
      <c r="C1655" s="111"/>
      <c r="D1655" s="102"/>
      <c r="E1655" s="130"/>
      <c r="F1655" s="102"/>
      <c r="G1655" s="122"/>
      <c r="H1655" s="10"/>
    </row>
    <row r="1656" spans="2:8" ht="15.75">
      <c r="B1656" s="111"/>
      <c r="C1656" s="111"/>
      <c r="D1656" s="102"/>
      <c r="E1656" s="130"/>
      <c r="F1656" s="102"/>
      <c r="G1656" s="122"/>
      <c r="H1656" s="10"/>
    </row>
    <row r="1657" spans="2:8" ht="15.75">
      <c r="B1657" s="111"/>
      <c r="C1657" s="111"/>
      <c r="D1657" s="102"/>
      <c r="E1657" s="130"/>
      <c r="F1657" s="102"/>
      <c r="G1657" s="122"/>
      <c r="H1657" s="10"/>
    </row>
    <row r="1658" spans="2:8" ht="15.75">
      <c r="B1658" s="111"/>
      <c r="C1658" s="111"/>
      <c r="D1658" s="102"/>
      <c r="E1658" s="130"/>
      <c r="F1658" s="102"/>
      <c r="G1658" s="122"/>
      <c r="H1658" s="10"/>
    </row>
    <row r="1659" spans="2:8" ht="15.75">
      <c r="B1659" s="111"/>
      <c r="C1659" s="111"/>
      <c r="D1659" s="102"/>
      <c r="E1659" s="130"/>
      <c r="F1659" s="102"/>
      <c r="G1659" s="122"/>
      <c r="H1659" s="10"/>
    </row>
    <row r="1660" spans="2:8" ht="15.75">
      <c r="B1660" s="111"/>
      <c r="C1660" s="111"/>
      <c r="D1660" s="102"/>
      <c r="E1660" s="130"/>
      <c r="F1660" s="102"/>
      <c r="G1660" s="122"/>
      <c r="H1660" s="10"/>
    </row>
    <row r="1661" spans="2:8" ht="15.75">
      <c r="B1661" s="111"/>
      <c r="C1661" s="111"/>
      <c r="D1661" s="102"/>
      <c r="E1661" s="130"/>
      <c r="F1661" s="102"/>
      <c r="G1661" s="122"/>
      <c r="H1661" s="10"/>
    </row>
    <row r="1662" spans="2:8" ht="15.75">
      <c r="B1662" s="111"/>
      <c r="C1662" s="111"/>
      <c r="D1662" s="102"/>
      <c r="E1662" s="130"/>
      <c r="F1662" s="102"/>
      <c r="G1662" s="122"/>
      <c r="H1662" s="10"/>
    </row>
    <row r="1663" spans="2:8" ht="15.75">
      <c r="B1663" s="111"/>
      <c r="C1663" s="111"/>
      <c r="D1663" s="102"/>
      <c r="E1663" s="130"/>
      <c r="F1663" s="102"/>
      <c r="G1663" s="122"/>
      <c r="H1663" s="10"/>
    </row>
    <row r="1664" spans="2:8" ht="15.75">
      <c r="B1664" s="111"/>
      <c r="C1664" s="111"/>
      <c r="D1664" s="102"/>
      <c r="E1664" s="130"/>
      <c r="F1664" s="102"/>
      <c r="G1664" s="122"/>
      <c r="H1664" s="10"/>
    </row>
    <row r="1665" spans="2:8" ht="15.75">
      <c r="B1665" s="111"/>
      <c r="C1665" s="111"/>
      <c r="D1665" s="102"/>
      <c r="E1665" s="130"/>
      <c r="F1665" s="102"/>
      <c r="G1665" s="122"/>
      <c r="H1665" s="10"/>
    </row>
    <row r="1666" spans="2:8" ht="15.75">
      <c r="B1666" s="111"/>
      <c r="C1666" s="111"/>
      <c r="D1666" s="102"/>
      <c r="E1666" s="130"/>
      <c r="F1666" s="102"/>
      <c r="G1666" s="122"/>
      <c r="H1666" s="10"/>
    </row>
    <row r="1667" spans="2:8" ht="15.75">
      <c r="B1667" s="111"/>
      <c r="C1667" s="111"/>
      <c r="D1667" s="102"/>
      <c r="E1667" s="130"/>
      <c r="F1667" s="102"/>
      <c r="G1667" s="122"/>
      <c r="H1667" s="10"/>
    </row>
    <row r="1668" spans="2:8" ht="15.75">
      <c r="B1668" s="111"/>
      <c r="C1668" s="111"/>
      <c r="D1668" s="102"/>
      <c r="E1668" s="130"/>
      <c r="F1668" s="102"/>
      <c r="G1668" s="122"/>
      <c r="H1668" s="10"/>
    </row>
    <row r="1669" spans="2:8" ht="15.75">
      <c r="B1669" s="111"/>
      <c r="C1669" s="111"/>
      <c r="D1669" s="102"/>
      <c r="E1669" s="130"/>
      <c r="F1669" s="102"/>
      <c r="G1669" s="122"/>
      <c r="H1669" s="10"/>
    </row>
    <row r="1670" spans="2:8" ht="15.75">
      <c r="B1670" s="111"/>
      <c r="C1670" s="111"/>
      <c r="D1670" s="102"/>
      <c r="E1670" s="130"/>
      <c r="F1670" s="102"/>
      <c r="G1670" s="122"/>
      <c r="H1670" s="10"/>
    </row>
    <row r="1671" spans="2:8" ht="15.75">
      <c r="B1671" s="111"/>
      <c r="C1671" s="111"/>
      <c r="D1671" s="102"/>
      <c r="E1671" s="130"/>
      <c r="F1671" s="102"/>
      <c r="G1671" s="122"/>
      <c r="H1671" s="10"/>
    </row>
    <row r="1672" spans="2:8" ht="15.75">
      <c r="B1672" s="111"/>
      <c r="C1672" s="111"/>
      <c r="D1672" s="102"/>
      <c r="E1672" s="130"/>
      <c r="F1672" s="102"/>
      <c r="G1672" s="122"/>
      <c r="H1672" s="10"/>
    </row>
    <row r="1673" spans="2:8" ht="15.75">
      <c r="B1673" s="111"/>
      <c r="C1673" s="111"/>
      <c r="D1673" s="102"/>
      <c r="E1673" s="130"/>
      <c r="F1673" s="102"/>
      <c r="G1673" s="122"/>
      <c r="H1673" s="10"/>
    </row>
    <row r="1674" spans="2:8" ht="15.75">
      <c r="B1674" s="111"/>
      <c r="C1674" s="111"/>
      <c r="D1674" s="102"/>
      <c r="E1674" s="130"/>
      <c r="F1674" s="102"/>
      <c r="G1674" s="122"/>
      <c r="H1674" s="10"/>
    </row>
    <row r="1675" spans="2:8" ht="15.75">
      <c r="B1675" s="111"/>
      <c r="C1675" s="111"/>
      <c r="D1675" s="102"/>
      <c r="E1675" s="130"/>
      <c r="F1675" s="102"/>
      <c r="G1675" s="122"/>
      <c r="H1675" s="10"/>
    </row>
    <row r="1676" spans="2:8" ht="15.75">
      <c r="B1676" s="111"/>
      <c r="C1676" s="111"/>
      <c r="D1676" s="102"/>
      <c r="E1676" s="130"/>
      <c r="F1676" s="102"/>
      <c r="G1676" s="122"/>
      <c r="H1676" s="10"/>
    </row>
    <row r="1677" spans="2:8" ht="15.75">
      <c r="B1677" s="111"/>
      <c r="C1677" s="111"/>
      <c r="D1677" s="102"/>
      <c r="E1677" s="130"/>
      <c r="F1677" s="102"/>
      <c r="G1677" s="122"/>
      <c r="H1677" s="10"/>
    </row>
    <row r="1678" spans="2:8" ht="15.75">
      <c r="B1678" s="111"/>
      <c r="C1678" s="111"/>
      <c r="D1678" s="102"/>
      <c r="E1678" s="130"/>
      <c r="F1678" s="102"/>
      <c r="G1678" s="122"/>
      <c r="H1678" s="10"/>
    </row>
    <row r="1679" spans="2:8" ht="15.75">
      <c r="B1679" s="111"/>
      <c r="C1679" s="111"/>
      <c r="D1679" s="102"/>
      <c r="E1679" s="130"/>
      <c r="F1679" s="102"/>
      <c r="G1679" s="122"/>
      <c r="H1679" s="10"/>
    </row>
    <row r="1680" spans="2:8" ht="15.75">
      <c r="B1680" s="111"/>
      <c r="C1680" s="111"/>
      <c r="D1680" s="102"/>
      <c r="E1680" s="130"/>
      <c r="F1680" s="102"/>
      <c r="G1680" s="122"/>
      <c r="H1680" s="10"/>
    </row>
    <row r="1681" spans="2:8" ht="15.75">
      <c r="B1681" s="111"/>
      <c r="C1681" s="111"/>
      <c r="D1681" s="102"/>
      <c r="E1681" s="130"/>
      <c r="F1681" s="102"/>
      <c r="G1681" s="122"/>
      <c r="H1681" s="10"/>
    </row>
    <row r="1682" spans="2:8" ht="15.75">
      <c r="B1682" s="111"/>
      <c r="C1682" s="111"/>
      <c r="D1682" s="102"/>
      <c r="E1682" s="130"/>
      <c r="F1682" s="102"/>
      <c r="G1682" s="122"/>
      <c r="H1682" s="10"/>
    </row>
    <row r="1683" spans="2:8" ht="15.75">
      <c r="B1683" s="111"/>
      <c r="C1683" s="111"/>
      <c r="D1683" s="102"/>
      <c r="E1683" s="130"/>
      <c r="F1683" s="102"/>
      <c r="G1683" s="122"/>
      <c r="H1683" s="10"/>
    </row>
    <row r="1684" spans="2:8" ht="15.75">
      <c r="B1684" s="111"/>
      <c r="C1684" s="111"/>
      <c r="D1684" s="102"/>
      <c r="E1684" s="130"/>
      <c r="F1684" s="102"/>
      <c r="G1684" s="122"/>
      <c r="H1684" s="10"/>
    </row>
    <row r="1685" spans="2:8" ht="15.75">
      <c r="B1685" s="111"/>
      <c r="C1685" s="111"/>
      <c r="D1685" s="102"/>
      <c r="E1685" s="130"/>
      <c r="F1685" s="102"/>
      <c r="G1685" s="122"/>
      <c r="H1685" s="10"/>
    </row>
    <row r="1686" spans="2:8" ht="15.75">
      <c r="B1686" s="111"/>
      <c r="C1686" s="111"/>
      <c r="D1686" s="102"/>
      <c r="E1686" s="130"/>
      <c r="F1686" s="102"/>
      <c r="G1686" s="122"/>
      <c r="H1686" s="10"/>
    </row>
    <row r="1687" spans="2:8" ht="15.75">
      <c r="B1687" s="111"/>
      <c r="C1687" s="111"/>
      <c r="D1687" s="102"/>
      <c r="E1687" s="130"/>
      <c r="F1687" s="102"/>
      <c r="G1687" s="122"/>
      <c r="H1687" s="10"/>
    </row>
    <row r="1688" spans="2:8" ht="15.75">
      <c r="B1688" s="111"/>
      <c r="C1688" s="111"/>
      <c r="D1688" s="102"/>
      <c r="E1688" s="130"/>
      <c r="F1688" s="102"/>
      <c r="G1688" s="122"/>
      <c r="H1688" s="10"/>
    </row>
    <row r="1689" spans="2:8" ht="15.75">
      <c r="B1689" s="111"/>
      <c r="C1689" s="111"/>
      <c r="D1689" s="102"/>
      <c r="E1689" s="130"/>
      <c r="F1689" s="102"/>
      <c r="G1689" s="122"/>
      <c r="H1689" s="10"/>
    </row>
    <row r="1690" spans="2:8" ht="15.75">
      <c r="B1690" s="111"/>
      <c r="C1690" s="111"/>
      <c r="D1690" s="102"/>
      <c r="E1690" s="130"/>
      <c r="F1690" s="102"/>
      <c r="G1690" s="122"/>
      <c r="H1690" s="10"/>
    </row>
    <row r="1691" spans="2:8" ht="15.75">
      <c r="B1691" s="111"/>
      <c r="C1691" s="111"/>
      <c r="D1691" s="102"/>
      <c r="E1691" s="130"/>
      <c r="F1691" s="102"/>
      <c r="G1691" s="122"/>
      <c r="H1691" s="10"/>
    </row>
    <row r="1692" spans="2:8" ht="15.75">
      <c r="B1692" s="111"/>
      <c r="C1692" s="111"/>
      <c r="D1692" s="102"/>
      <c r="E1692" s="130"/>
      <c r="F1692" s="102"/>
      <c r="G1692" s="122"/>
      <c r="H1692" s="10"/>
    </row>
    <row r="1693" spans="2:8" ht="15.75">
      <c r="B1693" s="111"/>
      <c r="C1693" s="111"/>
      <c r="D1693" s="102"/>
      <c r="E1693" s="130"/>
      <c r="F1693" s="102"/>
      <c r="G1693" s="122"/>
      <c r="H1693" s="10"/>
    </row>
    <row r="1694" spans="2:8" ht="15.75">
      <c r="B1694" s="111"/>
      <c r="C1694" s="111"/>
      <c r="D1694" s="102"/>
      <c r="E1694" s="130"/>
      <c r="F1694" s="102"/>
      <c r="G1694" s="122"/>
      <c r="H1694" s="10"/>
    </row>
    <row r="1695" spans="2:8" ht="15.75">
      <c r="B1695" s="111"/>
      <c r="C1695" s="111"/>
      <c r="D1695" s="102"/>
      <c r="E1695" s="130"/>
      <c r="F1695" s="102"/>
      <c r="G1695" s="122"/>
      <c r="H1695" s="10"/>
    </row>
    <row r="1696" spans="2:8" ht="15.75">
      <c r="B1696" s="111"/>
      <c r="C1696" s="111"/>
      <c r="D1696" s="102"/>
      <c r="E1696" s="130"/>
      <c r="F1696" s="102"/>
      <c r="G1696" s="122"/>
      <c r="H1696" s="10"/>
    </row>
    <row r="1697" spans="2:8" ht="15.75">
      <c r="B1697" s="111"/>
      <c r="C1697" s="111"/>
      <c r="D1697" s="102"/>
      <c r="E1697" s="130"/>
      <c r="F1697" s="102"/>
      <c r="G1697" s="122"/>
      <c r="H1697" s="10"/>
    </row>
    <row r="1698" spans="2:8" ht="15.75">
      <c r="B1698" s="111"/>
      <c r="C1698" s="111"/>
      <c r="D1698" s="102"/>
      <c r="E1698" s="130"/>
      <c r="F1698" s="102"/>
      <c r="G1698" s="122"/>
      <c r="H1698" s="10"/>
    </row>
    <row r="1699" spans="2:8" ht="15.75">
      <c r="B1699" s="111"/>
      <c r="C1699" s="111"/>
      <c r="D1699" s="102"/>
      <c r="E1699" s="130"/>
      <c r="F1699" s="102"/>
      <c r="G1699" s="122"/>
      <c r="H1699" s="10"/>
    </row>
    <row r="1700" spans="2:8" ht="15.75">
      <c r="B1700" s="111"/>
      <c r="C1700" s="111"/>
      <c r="D1700" s="102"/>
      <c r="E1700" s="130"/>
      <c r="F1700" s="102"/>
      <c r="G1700" s="122"/>
      <c r="H1700" s="10"/>
    </row>
    <row r="1701" spans="2:8" ht="15.75">
      <c r="B1701" s="111"/>
      <c r="C1701" s="111"/>
      <c r="D1701" s="102"/>
      <c r="E1701" s="130"/>
      <c r="F1701" s="102"/>
      <c r="G1701" s="122"/>
      <c r="H1701" s="10"/>
    </row>
    <row r="1702" spans="2:8" ht="15.75">
      <c r="B1702" s="111"/>
      <c r="C1702" s="111"/>
      <c r="D1702" s="102"/>
      <c r="E1702" s="130"/>
      <c r="F1702" s="102"/>
      <c r="G1702" s="122"/>
      <c r="H1702" s="10"/>
    </row>
    <row r="1703" spans="2:8" ht="15.75">
      <c r="B1703" s="111"/>
      <c r="C1703" s="111"/>
      <c r="D1703" s="102"/>
      <c r="E1703" s="130"/>
      <c r="F1703" s="102"/>
      <c r="G1703" s="122"/>
      <c r="H1703" s="10"/>
    </row>
    <row r="1704" spans="2:8" ht="15.75">
      <c r="B1704" s="111"/>
      <c r="C1704" s="111"/>
      <c r="D1704" s="102"/>
      <c r="E1704" s="130"/>
      <c r="F1704" s="102"/>
      <c r="G1704" s="122"/>
      <c r="H1704" s="10"/>
    </row>
    <row r="1705" spans="2:8" ht="15.75">
      <c r="B1705" s="111"/>
      <c r="C1705" s="111"/>
      <c r="D1705" s="102"/>
      <c r="E1705" s="130"/>
      <c r="F1705" s="102"/>
      <c r="G1705" s="122"/>
      <c r="H1705" s="10"/>
    </row>
    <row r="1706" spans="2:8" ht="15.75">
      <c r="B1706" s="111"/>
      <c r="C1706" s="111"/>
      <c r="D1706" s="102"/>
      <c r="E1706" s="130"/>
      <c r="F1706" s="102"/>
      <c r="G1706" s="122"/>
      <c r="H1706" s="10"/>
    </row>
    <row r="1707" spans="2:8" ht="15.75">
      <c r="B1707" s="111"/>
      <c r="C1707" s="111"/>
      <c r="D1707" s="102"/>
      <c r="E1707" s="130"/>
      <c r="F1707" s="102"/>
      <c r="G1707" s="122"/>
      <c r="H1707" s="10"/>
    </row>
    <row r="1708" spans="2:8" ht="15.75">
      <c r="B1708" s="111"/>
      <c r="C1708" s="111"/>
      <c r="D1708" s="102"/>
      <c r="E1708" s="130"/>
      <c r="F1708" s="102"/>
      <c r="G1708" s="122"/>
      <c r="H1708" s="10"/>
    </row>
    <row r="1709" spans="2:8" ht="15.75">
      <c r="B1709" s="111"/>
      <c r="C1709" s="111"/>
      <c r="D1709" s="102"/>
      <c r="E1709" s="130"/>
      <c r="F1709" s="102"/>
      <c r="G1709" s="122"/>
      <c r="H1709" s="10"/>
    </row>
    <row r="1710" spans="2:8" ht="15.75">
      <c r="B1710" s="111"/>
      <c r="C1710" s="111"/>
      <c r="D1710" s="102"/>
      <c r="E1710" s="130"/>
      <c r="F1710" s="102"/>
      <c r="G1710" s="122"/>
      <c r="H1710" s="10"/>
    </row>
    <row r="1711" spans="2:8" ht="15.75">
      <c r="B1711" s="111"/>
      <c r="C1711" s="111"/>
      <c r="D1711" s="102"/>
      <c r="E1711" s="130"/>
      <c r="F1711" s="102"/>
      <c r="G1711" s="122"/>
      <c r="H1711" s="10"/>
    </row>
    <row r="1712" spans="2:8" ht="15.75">
      <c r="B1712" s="111"/>
      <c r="C1712" s="111"/>
      <c r="D1712" s="102"/>
      <c r="E1712" s="130"/>
      <c r="F1712" s="102"/>
      <c r="G1712" s="122"/>
      <c r="H1712" s="10"/>
    </row>
    <row r="1713" spans="2:8" ht="15.75">
      <c r="B1713" s="111"/>
      <c r="C1713" s="111"/>
      <c r="D1713" s="102"/>
      <c r="E1713" s="130"/>
      <c r="F1713" s="102"/>
      <c r="G1713" s="122"/>
      <c r="H1713" s="10"/>
    </row>
    <row r="1714" spans="2:8" ht="15.75">
      <c r="B1714" s="111"/>
      <c r="C1714" s="111"/>
      <c r="D1714" s="102"/>
      <c r="E1714" s="130"/>
      <c r="F1714" s="102"/>
      <c r="G1714" s="122"/>
      <c r="H1714" s="10"/>
    </row>
    <row r="1715" spans="2:8" ht="15.75">
      <c r="B1715" s="111"/>
      <c r="C1715" s="111"/>
      <c r="D1715" s="102"/>
      <c r="E1715" s="130"/>
      <c r="F1715" s="102"/>
      <c r="G1715" s="122"/>
      <c r="H1715" s="10"/>
    </row>
    <row r="1716" spans="2:8" ht="15.75">
      <c r="B1716" s="111"/>
      <c r="C1716" s="111"/>
      <c r="D1716" s="102"/>
      <c r="E1716" s="130"/>
      <c r="F1716" s="102"/>
      <c r="G1716" s="122"/>
      <c r="H1716" s="10"/>
    </row>
    <row r="1717" spans="2:8" ht="15.75">
      <c r="B1717" s="111"/>
      <c r="C1717" s="111"/>
      <c r="D1717" s="102"/>
      <c r="E1717" s="130"/>
      <c r="F1717" s="102"/>
      <c r="G1717" s="122"/>
      <c r="H1717" s="10"/>
    </row>
    <row r="1718" spans="2:8" ht="15.75">
      <c r="B1718" s="111"/>
      <c r="C1718" s="111"/>
      <c r="D1718" s="102"/>
      <c r="E1718" s="130"/>
      <c r="F1718" s="102"/>
      <c r="G1718" s="122"/>
      <c r="H1718" s="10"/>
    </row>
    <row r="1719" spans="2:8" ht="15.75">
      <c r="B1719" s="111"/>
      <c r="C1719" s="111"/>
      <c r="D1719" s="102"/>
      <c r="E1719" s="130"/>
      <c r="F1719" s="102"/>
      <c r="G1719" s="122"/>
      <c r="H1719" s="10"/>
    </row>
    <row r="1720" spans="2:8" ht="15.75">
      <c r="B1720" s="111"/>
      <c r="C1720" s="111"/>
      <c r="D1720" s="102"/>
      <c r="E1720" s="130"/>
      <c r="F1720" s="102"/>
      <c r="G1720" s="122"/>
      <c r="H1720" s="10"/>
    </row>
    <row r="1721" spans="2:8" ht="15.75">
      <c r="B1721" s="111"/>
      <c r="C1721" s="111"/>
      <c r="D1721" s="102"/>
      <c r="E1721" s="130"/>
      <c r="F1721" s="102"/>
      <c r="G1721" s="122"/>
      <c r="H1721" s="10"/>
    </row>
    <row r="1722" spans="2:8" ht="15.75">
      <c r="B1722" s="111"/>
      <c r="C1722" s="111"/>
      <c r="D1722" s="102"/>
      <c r="E1722" s="130"/>
      <c r="F1722" s="102"/>
      <c r="G1722" s="122"/>
      <c r="H1722" s="10"/>
    </row>
    <row r="1723" spans="2:8" ht="15.75">
      <c r="B1723" s="111"/>
      <c r="C1723" s="111"/>
      <c r="D1723" s="102"/>
      <c r="E1723" s="130"/>
      <c r="F1723" s="102"/>
      <c r="G1723" s="122"/>
      <c r="H1723" s="10"/>
    </row>
    <row r="1724" spans="2:8" ht="15.75">
      <c r="B1724" s="111"/>
      <c r="C1724" s="111"/>
      <c r="D1724" s="102"/>
      <c r="E1724" s="130"/>
      <c r="F1724" s="102"/>
      <c r="G1724" s="122"/>
      <c r="H1724" s="10"/>
    </row>
    <row r="1725" spans="2:8" ht="15.75">
      <c r="B1725" s="111"/>
      <c r="C1725" s="111"/>
      <c r="D1725" s="102"/>
      <c r="E1725" s="130"/>
      <c r="F1725" s="102"/>
      <c r="G1725" s="122"/>
      <c r="H1725" s="10"/>
    </row>
    <row r="1726" spans="2:8" ht="15.75">
      <c r="B1726" s="111"/>
      <c r="C1726" s="111"/>
      <c r="D1726" s="102"/>
      <c r="E1726" s="130"/>
      <c r="F1726" s="102"/>
      <c r="G1726" s="122"/>
      <c r="H1726" s="10"/>
    </row>
    <row r="1727" spans="2:8" ht="15.75">
      <c r="B1727" s="111"/>
      <c r="C1727" s="111"/>
      <c r="D1727" s="102"/>
      <c r="E1727" s="130"/>
      <c r="F1727" s="102"/>
      <c r="G1727" s="122"/>
      <c r="H1727" s="10"/>
    </row>
    <row r="1728" spans="2:8" ht="15.75">
      <c r="B1728" s="111"/>
      <c r="C1728" s="111"/>
      <c r="D1728" s="102"/>
      <c r="E1728" s="130"/>
      <c r="F1728" s="102"/>
      <c r="G1728" s="122"/>
      <c r="H1728" s="10"/>
    </row>
    <row r="1729" spans="2:8" ht="15.75">
      <c r="B1729" s="111"/>
      <c r="C1729" s="111"/>
      <c r="D1729" s="102"/>
      <c r="E1729" s="130"/>
      <c r="F1729" s="102"/>
      <c r="G1729" s="122"/>
      <c r="H1729" s="10"/>
    </row>
    <row r="1730" spans="2:8" ht="15.75">
      <c r="B1730" s="111"/>
      <c r="C1730" s="111"/>
      <c r="D1730" s="102"/>
      <c r="E1730" s="130"/>
      <c r="F1730" s="102"/>
      <c r="G1730" s="122"/>
      <c r="H1730" s="10"/>
    </row>
    <row r="1731" spans="2:8" ht="15.75">
      <c r="B1731" s="111"/>
      <c r="C1731" s="111"/>
      <c r="D1731" s="102"/>
      <c r="E1731" s="130"/>
      <c r="F1731" s="102"/>
      <c r="G1731" s="122"/>
      <c r="H1731" s="10"/>
    </row>
    <row r="1732" spans="2:8" ht="15.75">
      <c r="B1732" s="111"/>
      <c r="C1732" s="111"/>
      <c r="D1732" s="102"/>
      <c r="E1732" s="130"/>
      <c r="F1732" s="102"/>
      <c r="G1732" s="122"/>
      <c r="H1732" s="10"/>
    </row>
    <row r="1733" spans="2:8" ht="15.75">
      <c r="B1733" s="111"/>
      <c r="C1733" s="111"/>
      <c r="D1733" s="102"/>
      <c r="E1733" s="130"/>
      <c r="F1733" s="102"/>
      <c r="G1733" s="122"/>
      <c r="H1733" s="10"/>
    </row>
    <row r="1734" spans="2:8" ht="15.75">
      <c r="B1734" s="111"/>
      <c r="C1734" s="111"/>
      <c r="D1734" s="102"/>
      <c r="E1734" s="130"/>
      <c r="F1734" s="102"/>
      <c r="G1734" s="122"/>
      <c r="H1734" s="10"/>
    </row>
    <row r="1735" spans="2:8" ht="15.75">
      <c r="B1735" s="111"/>
      <c r="C1735" s="111"/>
      <c r="D1735" s="102"/>
      <c r="E1735" s="130"/>
      <c r="F1735" s="102"/>
      <c r="G1735" s="122"/>
      <c r="H1735" s="10"/>
    </row>
    <row r="1736" spans="2:8" ht="15.75">
      <c r="B1736" s="111"/>
      <c r="C1736" s="111"/>
      <c r="D1736" s="102"/>
      <c r="E1736" s="130"/>
      <c r="F1736" s="102"/>
      <c r="G1736" s="122"/>
      <c r="H1736" s="10"/>
    </row>
    <row r="1737" spans="2:8" ht="15.75">
      <c r="B1737" s="111"/>
      <c r="C1737" s="111"/>
      <c r="D1737" s="102"/>
      <c r="E1737" s="130"/>
      <c r="F1737" s="102"/>
      <c r="G1737" s="122"/>
      <c r="H1737" s="10"/>
    </row>
    <row r="1738" spans="2:8" ht="15.75">
      <c r="B1738" s="111"/>
      <c r="C1738" s="111"/>
      <c r="D1738" s="102"/>
      <c r="E1738" s="130"/>
      <c r="F1738" s="102"/>
      <c r="G1738" s="122"/>
      <c r="H1738" s="10"/>
    </row>
    <row r="1739" spans="2:8" ht="15.75">
      <c r="B1739" s="111"/>
      <c r="C1739" s="111"/>
      <c r="D1739" s="102"/>
      <c r="E1739" s="130"/>
      <c r="F1739" s="102"/>
      <c r="G1739" s="122"/>
      <c r="H1739" s="10"/>
    </row>
    <row r="1740" spans="2:8" ht="15.75">
      <c r="B1740" s="111"/>
      <c r="C1740" s="111"/>
      <c r="D1740" s="102"/>
      <c r="E1740" s="130"/>
      <c r="F1740" s="102"/>
      <c r="G1740" s="122"/>
      <c r="H1740" s="10"/>
    </row>
    <row r="1741" spans="2:8" ht="15.75">
      <c r="B1741" s="111"/>
      <c r="C1741" s="111"/>
      <c r="D1741" s="102"/>
      <c r="E1741" s="130"/>
      <c r="F1741" s="102"/>
      <c r="G1741" s="122"/>
      <c r="H1741" s="10"/>
    </row>
    <row r="1742" spans="2:8" ht="15.75">
      <c r="B1742" s="111"/>
      <c r="C1742" s="111"/>
      <c r="D1742" s="102"/>
      <c r="E1742" s="130"/>
      <c r="F1742" s="102"/>
      <c r="G1742" s="122"/>
      <c r="H1742" s="10"/>
    </row>
    <row r="1743" spans="2:8" ht="15.75">
      <c r="B1743" s="111"/>
      <c r="C1743" s="111"/>
      <c r="D1743" s="102"/>
      <c r="E1743" s="130"/>
      <c r="F1743" s="102"/>
      <c r="G1743" s="122"/>
      <c r="H1743" s="10"/>
    </row>
    <row r="1744" spans="2:8" ht="15.75">
      <c r="B1744" s="111"/>
      <c r="C1744" s="111"/>
      <c r="D1744" s="102"/>
      <c r="E1744" s="130"/>
      <c r="F1744" s="102"/>
      <c r="G1744" s="122"/>
      <c r="H1744" s="10"/>
    </row>
    <row r="1745" spans="2:8" ht="15.75">
      <c r="B1745" s="111"/>
      <c r="C1745" s="111"/>
      <c r="D1745" s="102"/>
      <c r="E1745" s="130"/>
      <c r="F1745" s="102"/>
      <c r="G1745" s="122"/>
      <c r="H1745" s="10"/>
    </row>
    <row r="1746" spans="2:8" ht="15.75">
      <c r="B1746" s="111"/>
      <c r="C1746" s="111"/>
      <c r="D1746" s="102"/>
      <c r="E1746" s="130"/>
      <c r="F1746" s="102"/>
      <c r="G1746" s="122"/>
      <c r="H1746" s="10"/>
    </row>
    <row r="1747" spans="2:8" ht="15.75">
      <c r="B1747" s="111"/>
      <c r="C1747" s="111"/>
      <c r="D1747" s="102"/>
      <c r="E1747" s="130"/>
      <c r="F1747" s="102"/>
      <c r="G1747" s="122"/>
      <c r="H1747" s="10"/>
    </row>
    <row r="1748" spans="2:8" ht="15.75">
      <c r="B1748" s="111"/>
      <c r="C1748" s="111"/>
      <c r="D1748" s="102"/>
      <c r="E1748" s="130"/>
      <c r="F1748" s="102"/>
      <c r="G1748" s="122"/>
      <c r="H1748" s="10"/>
    </row>
    <row r="1749" spans="2:8" ht="15.75">
      <c r="B1749" s="111"/>
      <c r="C1749" s="111"/>
      <c r="D1749" s="102"/>
      <c r="E1749" s="130"/>
      <c r="F1749" s="102"/>
      <c r="G1749" s="122"/>
      <c r="H1749" s="10"/>
    </row>
    <row r="1750" spans="2:8" ht="15.75">
      <c r="B1750" s="111"/>
      <c r="C1750" s="111"/>
      <c r="D1750" s="102"/>
      <c r="E1750" s="130"/>
      <c r="F1750" s="102"/>
      <c r="G1750" s="122"/>
      <c r="H1750" s="10"/>
    </row>
    <row r="1751" spans="2:8" ht="15.75">
      <c r="B1751" s="111"/>
      <c r="C1751" s="111"/>
      <c r="D1751" s="102"/>
      <c r="E1751" s="130"/>
      <c r="F1751" s="102"/>
      <c r="G1751" s="122"/>
      <c r="H1751" s="10"/>
    </row>
    <row r="1752" spans="2:8" ht="15.75">
      <c r="B1752" s="111"/>
      <c r="C1752" s="111"/>
      <c r="D1752" s="102"/>
      <c r="E1752" s="130"/>
      <c r="F1752" s="102"/>
      <c r="G1752" s="122"/>
      <c r="H1752" s="10"/>
    </row>
    <row r="1753" spans="2:8" ht="15.75">
      <c r="B1753" s="111"/>
      <c r="C1753" s="111"/>
      <c r="D1753" s="102"/>
      <c r="E1753" s="130"/>
      <c r="F1753" s="102"/>
      <c r="G1753" s="122"/>
      <c r="H1753" s="10"/>
    </row>
    <row r="1754" spans="2:8" ht="15.75">
      <c r="B1754" s="111"/>
      <c r="C1754" s="111"/>
      <c r="D1754" s="102"/>
      <c r="E1754" s="130"/>
      <c r="F1754" s="102"/>
      <c r="G1754" s="122"/>
      <c r="H1754" s="10"/>
    </row>
    <row r="1755" spans="2:8" ht="15.75">
      <c r="B1755" s="111"/>
      <c r="C1755" s="111"/>
      <c r="D1755" s="102"/>
      <c r="E1755" s="130"/>
      <c r="F1755" s="102"/>
      <c r="G1755" s="122"/>
      <c r="H1755" s="10"/>
    </row>
    <row r="1756" spans="2:8" ht="15.75">
      <c r="B1756" s="111"/>
      <c r="C1756" s="111"/>
      <c r="D1756" s="102"/>
      <c r="E1756" s="130"/>
      <c r="F1756" s="102"/>
      <c r="G1756" s="122"/>
      <c r="H1756" s="10"/>
    </row>
    <row r="1757" spans="2:8" ht="15.75">
      <c r="B1757" s="111"/>
      <c r="C1757" s="111"/>
      <c r="D1757" s="102"/>
      <c r="E1757" s="130"/>
      <c r="F1757" s="102"/>
      <c r="G1757" s="122"/>
      <c r="H1757" s="10"/>
    </row>
    <row r="1758" spans="2:8" ht="15.75">
      <c r="B1758" s="111"/>
      <c r="C1758" s="111"/>
      <c r="D1758" s="102"/>
      <c r="E1758" s="130"/>
      <c r="F1758" s="102"/>
      <c r="G1758" s="122"/>
      <c r="H1758" s="10"/>
    </row>
    <row r="1759" spans="2:8" ht="15.75">
      <c r="B1759" s="111"/>
      <c r="C1759" s="111"/>
      <c r="D1759" s="102"/>
      <c r="E1759" s="130"/>
      <c r="F1759" s="102"/>
      <c r="G1759" s="122"/>
      <c r="H1759" s="10"/>
    </row>
    <row r="1760" spans="2:8" ht="15.75">
      <c r="B1760" s="111"/>
      <c r="C1760" s="111"/>
      <c r="D1760" s="102"/>
      <c r="E1760" s="130"/>
      <c r="F1760" s="102"/>
      <c r="G1760" s="122"/>
      <c r="H1760" s="10"/>
    </row>
    <row r="1761" spans="2:8" ht="15.75">
      <c r="B1761" s="111"/>
      <c r="C1761" s="111"/>
      <c r="D1761" s="102"/>
      <c r="E1761" s="130"/>
      <c r="F1761" s="102"/>
      <c r="G1761" s="122"/>
      <c r="H1761" s="10"/>
    </row>
    <row r="1762" spans="2:8" ht="15.75">
      <c r="B1762" s="111"/>
      <c r="C1762" s="111"/>
      <c r="D1762" s="102"/>
      <c r="E1762" s="130"/>
      <c r="F1762" s="102"/>
      <c r="G1762" s="122"/>
      <c r="H1762" s="10"/>
    </row>
    <row r="1763" spans="2:8" ht="15.75">
      <c r="B1763" s="111"/>
      <c r="C1763" s="111"/>
      <c r="D1763" s="102"/>
      <c r="E1763" s="130"/>
      <c r="F1763" s="102"/>
      <c r="G1763" s="122"/>
      <c r="H1763" s="10"/>
    </row>
    <row r="1764" spans="2:8" ht="15.75">
      <c r="B1764" s="111"/>
      <c r="C1764" s="111"/>
      <c r="D1764" s="102"/>
      <c r="E1764" s="130"/>
      <c r="F1764" s="102"/>
      <c r="G1764" s="122"/>
      <c r="H1764" s="10"/>
    </row>
    <row r="1765" spans="2:8" ht="15.75">
      <c r="B1765" s="111"/>
      <c r="C1765" s="111"/>
      <c r="D1765" s="102"/>
      <c r="E1765" s="130"/>
      <c r="F1765" s="102"/>
      <c r="G1765" s="122"/>
      <c r="H1765" s="10"/>
    </row>
    <row r="1766" spans="2:8" ht="15.75">
      <c r="B1766" s="111"/>
      <c r="C1766" s="111"/>
      <c r="D1766" s="102"/>
      <c r="E1766" s="130"/>
      <c r="F1766" s="102"/>
      <c r="G1766" s="122"/>
      <c r="H1766" s="10"/>
    </row>
    <row r="1767" spans="2:8" ht="15.75">
      <c r="B1767" s="111"/>
      <c r="C1767" s="111"/>
      <c r="D1767" s="102"/>
      <c r="E1767" s="130"/>
      <c r="F1767" s="102"/>
      <c r="G1767" s="122"/>
      <c r="H1767" s="10"/>
    </row>
    <row r="1768" spans="2:8" ht="15.75">
      <c r="B1768" s="111"/>
      <c r="C1768" s="111"/>
      <c r="D1768" s="102"/>
      <c r="E1768" s="130"/>
      <c r="F1768" s="102"/>
      <c r="G1768" s="122"/>
      <c r="H1768" s="10"/>
    </row>
    <row r="1769" spans="2:8" ht="15.75">
      <c r="B1769" s="111"/>
      <c r="C1769" s="111"/>
      <c r="D1769" s="102"/>
      <c r="E1769" s="130"/>
      <c r="F1769" s="102"/>
      <c r="G1769" s="122"/>
      <c r="H1769" s="10"/>
    </row>
    <row r="1770" spans="2:8" ht="15.75">
      <c r="B1770" s="111"/>
      <c r="C1770" s="111"/>
      <c r="D1770" s="102"/>
      <c r="E1770" s="130"/>
      <c r="F1770" s="102"/>
      <c r="G1770" s="122"/>
      <c r="H1770" s="10"/>
    </row>
    <row r="1771" spans="2:8" ht="15.75">
      <c r="B1771" s="111"/>
      <c r="C1771" s="111"/>
      <c r="D1771" s="102"/>
      <c r="E1771" s="130"/>
      <c r="F1771" s="102"/>
      <c r="G1771" s="122"/>
      <c r="H1771" s="10"/>
    </row>
    <row r="1772" spans="2:8" ht="15.75">
      <c r="B1772" s="111"/>
      <c r="C1772" s="111"/>
      <c r="D1772" s="102"/>
      <c r="E1772" s="130"/>
      <c r="F1772" s="102"/>
      <c r="G1772" s="122"/>
      <c r="H1772" s="10"/>
    </row>
    <row r="1773" spans="2:8" ht="15.75">
      <c r="B1773" s="111"/>
      <c r="C1773" s="111"/>
      <c r="D1773" s="102"/>
      <c r="E1773" s="130"/>
      <c r="F1773" s="102"/>
      <c r="G1773" s="122"/>
      <c r="H1773" s="10"/>
    </row>
    <row r="1774" spans="2:8" ht="15.75">
      <c r="B1774" s="111"/>
      <c r="C1774" s="111"/>
      <c r="D1774" s="102"/>
      <c r="E1774" s="130"/>
      <c r="F1774" s="102"/>
      <c r="G1774" s="122"/>
      <c r="H1774" s="10"/>
    </row>
    <row r="1775" spans="2:8" ht="15.75">
      <c r="B1775" s="111"/>
      <c r="C1775" s="111"/>
      <c r="D1775" s="102"/>
      <c r="E1775" s="130"/>
      <c r="F1775" s="102"/>
      <c r="G1775" s="122"/>
      <c r="H1775" s="10"/>
    </row>
    <row r="1776" spans="2:8" ht="15.75">
      <c r="B1776" s="111"/>
      <c r="C1776" s="111"/>
      <c r="D1776" s="102"/>
      <c r="E1776" s="130"/>
      <c r="F1776" s="102"/>
      <c r="G1776" s="122"/>
      <c r="H1776" s="10"/>
    </row>
    <row r="1777" spans="2:8" ht="15.75">
      <c r="B1777" s="111"/>
      <c r="C1777" s="111"/>
      <c r="D1777" s="102"/>
      <c r="E1777" s="130"/>
      <c r="F1777" s="102"/>
      <c r="G1777" s="122"/>
      <c r="H1777" s="10"/>
    </row>
    <row r="1778" spans="2:8" ht="15.75">
      <c r="B1778" s="111"/>
      <c r="C1778" s="111"/>
      <c r="D1778" s="102"/>
      <c r="E1778" s="130"/>
      <c r="F1778" s="102"/>
      <c r="G1778" s="122"/>
      <c r="H1778" s="10"/>
    </row>
    <row r="1779" spans="2:8" ht="15.75">
      <c r="B1779" s="111"/>
      <c r="C1779" s="111"/>
      <c r="D1779" s="102"/>
      <c r="E1779" s="130"/>
      <c r="F1779" s="102"/>
      <c r="G1779" s="122"/>
      <c r="H1779" s="10"/>
    </row>
    <row r="1780" spans="2:8" ht="15.75">
      <c r="B1780" s="111"/>
      <c r="C1780" s="111"/>
      <c r="D1780" s="102"/>
      <c r="E1780" s="130"/>
      <c r="F1780" s="102"/>
      <c r="G1780" s="122"/>
      <c r="H1780" s="10"/>
    </row>
    <row r="1781" spans="2:8" ht="15.75">
      <c r="B1781" s="111"/>
      <c r="C1781" s="111"/>
      <c r="D1781" s="102"/>
      <c r="E1781" s="130"/>
      <c r="F1781" s="102"/>
      <c r="G1781" s="122"/>
      <c r="H1781" s="10"/>
    </row>
    <row r="1782" spans="2:8" ht="15.75">
      <c r="B1782" s="111"/>
      <c r="C1782" s="111"/>
      <c r="D1782" s="102"/>
      <c r="E1782" s="130"/>
      <c r="F1782" s="102"/>
      <c r="G1782" s="122"/>
      <c r="H1782" s="10"/>
    </row>
    <row r="1783" spans="2:8" ht="15.75">
      <c r="B1783" s="111"/>
      <c r="C1783" s="111"/>
      <c r="D1783" s="102"/>
      <c r="E1783" s="130"/>
      <c r="F1783" s="102"/>
      <c r="G1783" s="122"/>
      <c r="H1783" s="10"/>
    </row>
    <row r="1784" spans="2:8" ht="15.75">
      <c r="B1784" s="111"/>
      <c r="C1784" s="111"/>
      <c r="D1784" s="102"/>
      <c r="E1784" s="130"/>
      <c r="F1784" s="102"/>
      <c r="G1784" s="122"/>
      <c r="H1784" s="10"/>
    </row>
    <row r="1785" spans="2:8" ht="15.75">
      <c r="B1785" s="111"/>
      <c r="C1785" s="111"/>
      <c r="D1785" s="102"/>
      <c r="E1785" s="130"/>
      <c r="F1785" s="102"/>
      <c r="G1785" s="122"/>
      <c r="H1785" s="10"/>
    </row>
    <row r="1786" spans="2:8" ht="15.75">
      <c r="B1786" s="111"/>
      <c r="C1786" s="111"/>
      <c r="D1786" s="102"/>
      <c r="E1786" s="130"/>
      <c r="F1786" s="102"/>
      <c r="G1786" s="122"/>
      <c r="H1786" s="10"/>
    </row>
    <row r="1787" spans="2:8" ht="15.75">
      <c r="B1787" s="111"/>
      <c r="C1787" s="111"/>
      <c r="D1787" s="102"/>
      <c r="E1787" s="130"/>
      <c r="F1787" s="102"/>
      <c r="G1787" s="122"/>
      <c r="H1787" s="10"/>
    </row>
    <row r="1788" spans="2:8" ht="15.75">
      <c r="B1788" s="111"/>
      <c r="C1788" s="111"/>
      <c r="D1788" s="102"/>
      <c r="E1788" s="130"/>
      <c r="F1788" s="102"/>
      <c r="G1788" s="122"/>
      <c r="H1788" s="10"/>
    </row>
    <row r="1789" spans="2:8" ht="15.75">
      <c r="B1789" s="111"/>
      <c r="C1789" s="111"/>
      <c r="D1789" s="102"/>
      <c r="E1789" s="130"/>
      <c r="F1789" s="102"/>
      <c r="G1789" s="122"/>
      <c r="H1789" s="10"/>
    </row>
    <row r="1790" spans="2:8" ht="15.75">
      <c r="B1790" s="111"/>
      <c r="C1790" s="111"/>
      <c r="D1790" s="102"/>
      <c r="E1790" s="130"/>
      <c r="F1790" s="102"/>
      <c r="G1790" s="122"/>
      <c r="H1790" s="10"/>
    </row>
    <row r="1791" spans="2:8" ht="15.75">
      <c r="B1791" s="111"/>
      <c r="C1791" s="111"/>
      <c r="D1791" s="102"/>
      <c r="E1791" s="130"/>
      <c r="F1791" s="102"/>
      <c r="G1791" s="122"/>
      <c r="H1791" s="10"/>
    </row>
    <row r="1792" spans="2:8" ht="15.75">
      <c r="B1792" s="111"/>
      <c r="C1792" s="111"/>
      <c r="D1792" s="102"/>
      <c r="E1792" s="130"/>
      <c r="F1792" s="102"/>
      <c r="G1792" s="122"/>
      <c r="H1792" s="10"/>
    </row>
    <row r="1793" spans="2:8" ht="15.75">
      <c r="B1793" s="111"/>
      <c r="C1793" s="111"/>
      <c r="D1793" s="102"/>
      <c r="E1793" s="130"/>
      <c r="F1793" s="102"/>
      <c r="G1793" s="122"/>
      <c r="H1793" s="10"/>
    </row>
    <row r="1794" spans="2:8" ht="15.75">
      <c r="B1794" s="111"/>
      <c r="C1794" s="111"/>
      <c r="D1794" s="102"/>
      <c r="E1794" s="130"/>
      <c r="F1794" s="102"/>
      <c r="G1794" s="122"/>
      <c r="H1794" s="10"/>
    </row>
    <row r="1795" spans="2:8" ht="15.75">
      <c r="B1795" s="111"/>
      <c r="C1795" s="111"/>
      <c r="D1795" s="102"/>
      <c r="E1795" s="130"/>
      <c r="F1795" s="102"/>
      <c r="G1795" s="122"/>
      <c r="H1795" s="10"/>
    </row>
    <row r="1796" spans="2:8" ht="15.75">
      <c r="B1796" s="111"/>
      <c r="C1796" s="111"/>
      <c r="D1796" s="102"/>
      <c r="E1796" s="130"/>
      <c r="F1796" s="102"/>
      <c r="G1796" s="122"/>
      <c r="H1796" s="10"/>
    </row>
    <row r="1797" spans="2:8" ht="15.75">
      <c r="B1797" s="111"/>
      <c r="C1797" s="111"/>
      <c r="D1797" s="102"/>
      <c r="E1797" s="130"/>
      <c r="F1797" s="102"/>
      <c r="G1797" s="122"/>
      <c r="H1797" s="10"/>
    </row>
    <row r="1798" spans="2:8" ht="15.75">
      <c r="B1798" s="111"/>
      <c r="C1798" s="111"/>
      <c r="D1798" s="102"/>
      <c r="E1798" s="130"/>
      <c r="F1798" s="102"/>
      <c r="G1798" s="122"/>
      <c r="H1798" s="10"/>
    </row>
    <row r="1799" spans="2:8" ht="15.75">
      <c r="B1799" s="111"/>
      <c r="C1799" s="111"/>
      <c r="D1799" s="102"/>
      <c r="E1799" s="130"/>
      <c r="F1799" s="102"/>
      <c r="G1799" s="122"/>
      <c r="H1799" s="10"/>
    </row>
    <row r="1800" spans="2:8" ht="15.75">
      <c r="B1800" s="111"/>
      <c r="C1800" s="111"/>
      <c r="D1800" s="102"/>
      <c r="E1800" s="130"/>
      <c r="F1800" s="102"/>
      <c r="G1800" s="122"/>
      <c r="H1800" s="10"/>
    </row>
    <row r="1801" spans="2:8" ht="15.75">
      <c r="B1801" s="111"/>
      <c r="C1801" s="111"/>
      <c r="D1801" s="102"/>
      <c r="E1801" s="130"/>
      <c r="F1801" s="102"/>
      <c r="G1801" s="122"/>
      <c r="H1801" s="10"/>
    </row>
    <row r="1802" spans="2:8" ht="15.75">
      <c r="B1802" s="111"/>
      <c r="C1802" s="111"/>
      <c r="D1802" s="102"/>
      <c r="E1802" s="130"/>
      <c r="F1802" s="102"/>
      <c r="G1802" s="122"/>
      <c r="H1802" s="10"/>
    </row>
    <row r="1803" spans="2:8" ht="15.75">
      <c r="B1803" s="111"/>
      <c r="C1803" s="111"/>
      <c r="D1803" s="102"/>
      <c r="E1803" s="130"/>
      <c r="F1803" s="102"/>
      <c r="G1803" s="122"/>
      <c r="H1803" s="10"/>
    </row>
    <row r="1804" spans="2:8" ht="15.75">
      <c r="B1804" s="111"/>
      <c r="C1804" s="111"/>
      <c r="D1804" s="102"/>
      <c r="E1804" s="130"/>
      <c r="F1804" s="102"/>
      <c r="G1804" s="122"/>
      <c r="H1804" s="10"/>
    </row>
    <row r="1805" spans="2:8" ht="15.75">
      <c r="B1805" s="111"/>
      <c r="C1805" s="111"/>
      <c r="D1805" s="102"/>
      <c r="E1805" s="130"/>
      <c r="F1805" s="102"/>
      <c r="G1805" s="122"/>
      <c r="H1805" s="10"/>
    </row>
    <row r="1806" spans="2:8" ht="15.75">
      <c r="B1806" s="111"/>
      <c r="C1806" s="111"/>
      <c r="D1806" s="102"/>
      <c r="E1806" s="130"/>
      <c r="F1806" s="102"/>
      <c r="G1806" s="122"/>
      <c r="H1806" s="10"/>
    </row>
    <row r="1807" spans="2:8" ht="15.75">
      <c r="B1807" s="111"/>
      <c r="C1807" s="111"/>
      <c r="D1807" s="102"/>
      <c r="E1807" s="130"/>
      <c r="F1807" s="102"/>
      <c r="G1807" s="122"/>
      <c r="H1807" s="10"/>
    </row>
    <row r="1808" spans="2:8" ht="15.75">
      <c r="B1808" s="111"/>
      <c r="C1808" s="111"/>
      <c r="D1808" s="102"/>
      <c r="E1808" s="130"/>
      <c r="F1808" s="102"/>
      <c r="G1808" s="122"/>
      <c r="H1808" s="10"/>
    </row>
    <row r="1809" spans="2:8" ht="15.75">
      <c r="B1809" s="111"/>
      <c r="C1809" s="111"/>
      <c r="D1809" s="102"/>
      <c r="E1809" s="130"/>
      <c r="F1809" s="102"/>
      <c r="G1809" s="122"/>
      <c r="H1809" s="10"/>
    </row>
    <row r="1810" spans="2:8" ht="15.75">
      <c r="B1810" s="111"/>
      <c r="C1810" s="111"/>
      <c r="D1810" s="102"/>
      <c r="E1810" s="130"/>
      <c r="F1810" s="102"/>
      <c r="G1810" s="122"/>
      <c r="H1810" s="10"/>
    </row>
    <row r="1811" spans="2:8" ht="15.75">
      <c r="B1811" s="111"/>
      <c r="C1811" s="111"/>
      <c r="D1811" s="102"/>
      <c r="E1811" s="130"/>
      <c r="F1811" s="102"/>
      <c r="G1811" s="122"/>
      <c r="H1811" s="10"/>
    </row>
    <row r="1812" spans="2:8" ht="15.75">
      <c r="B1812" s="111"/>
      <c r="C1812" s="111"/>
      <c r="D1812" s="102"/>
      <c r="E1812" s="130"/>
      <c r="F1812" s="102"/>
      <c r="G1812" s="122"/>
      <c r="H1812" s="10"/>
    </row>
    <row r="1813" spans="2:8" ht="15.75">
      <c r="B1813" s="111"/>
      <c r="C1813" s="111"/>
      <c r="D1813" s="102"/>
      <c r="E1813" s="130"/>
      <c r="F1813" s="102"/>
      <c r="G1813" s="122"/>
      <c r="H1813" s="10"/>
    </row>
    <row r="1814" spans="2:8" ht="15.75">
      <c r="B1814" s="111"/>
      <c r="C1814" s="111"/>
      <c r="D1814" s="102"/>
      <c r="E1814" s="130"/>
      <c r="F1814" s="102"/>
      <c r="G1814" s="122"/>
      <c r="H1814" s="10"/>
    </row>
    <row r="1815" spans="2:8" ht="15.75">
      <c r="B1815" s="111"/>
      <c r="C1815" s="111"/>
      <c r="D1815" s="102"/>
      <c r="E1815" s="130"/>
      <c r="F1815" s="102"/>
      <c r="G1815" s="122"/>
      <c r="H1815" s="10"/>
    </row>
    <row r="1816" spans="2:8" ht="15.75">
      <c r="B1816" s="111"/>
      <c r="C1816" s="111"/>
      <c r="D1816" s="102"/>
      <c r="E1816" s="130"/>
      <c r="F1816" s="102"/>
      <c r="G1816" s="122"/>
      <c r="H1816" s="10"/>
    </row>
    <row r="1817" spans="2:8" ht="15.75">
      <c r="B1817" s="111"/>
      <c r="C1817" s="111"/>
      <c r="D1817" s="102"/>
      <c r="E1817" s="130"/>
      <c r="F1817" s="102"/>
      <c r="G1817" s="122"/>
      <c r="H1817" s="10"/>
    </row>
    <row r="1818" spans="2:8" ht="15.75">
      <c r="B1818" s="111"/>
      <c r="C1818" s="111"/>
      <c r="D1818" s="102"/>
      <c r="E1818" s="130"/>
      <c r="F1818" s="102"/>
      <c r="G1818" s="122"/>
      <c r="H1818" s="10"/>
    </row>
    <row r="1819" spans="2:8" ht="15.75">
      <c r="B1819" s="111"/>
      <c r="C1819" s="111"/>
      <c r="D1819" s="102"/>
      <c r="E1819" s="130"/>
      <c r="F1819" s="102"/>
      <c r="G1819" s="122"/>
      <c r="H1819" s="10"/>
    </row>
    <row r="1820" spans="2:8" ht="15.75">
      <c r="B1820" s="111"/>
      <c r="C1820" s="111"/>
      <c r="D1820" s="102"/>
      <c r="E1820" s="130"/>
      <c r="F1820" s="102"/>
      <c r="G1820" s="122"/>
      <c r="H1820" s="10"/>
    </row>
    <row r="1821" spans="2:8" ht="15.75">
      <c r="B1821" s="111"/>
      <c r="C1821" s="111"/>
      <c r="D1821" s="102"/>
      <c r="E1821" s="130"/>
      <c r="F1821" s="102"/>
      <c r="G1821" s="122"/>
      <c r="H1821" s="10"/>
    </row>
    <row r="1822" spans="2:8" ht="15.75">
      <c r="B1822" s="111"/>
      <c r="C1822" s="111"/>
      <c r="D1822" s="102"/>
      <c r="E1822" s="130"/>
      <c r="F1822" s="102"/>
      <c r="G1822" s="122"/>
      <c r="H1822" s="10"/>
    </row>
    <row r="1823" spans="2:8" ht="15.75">
      <c r="B1823" s="111"/>
      <c r="C1823" s="111"/>
      <c r="D1823" s="102"/>
      <c r="E1823" s="130"/>
      <c r="F1823" s="102"/>
      <c r="G1823" s="122"/>
      <c r="H1823" s="10"/>
    </row>
    <row r="1824" spans="2:8" ht="15.75">
      <c r="B1824" s="111"/>
      <c r="C1824" s="111"/>
      <c r="D1824" s="102"/>
      <c r="E1824" s="130"/>
      <c r="F1824" s="102"/>
      <c r="G1824" s="122"/>
      <c r="H1824" s="10"/>
    </row>
    <row r="1825" spans="2:8" ht="15.75">
      <c r="B1825" s="111"/>
      <c r="C1825" s="111"/>
      <c r="D1825" s="102"/>
      <c r="E1825" s="130"/>
      <c r="F1825" s="102"/>
      <c r="G1825" s="122"/>
      <c r="H1825" s="10"/>
    </row>
    <row r="1826" spans="2:8" ht="15.75">
      <c r="B1826" s="111"/>
      <c r="C1826" s="111"/>
      <c r="D1826" s="102"/>
      <c r="E1826" s="130"/>
      <c r="F1826" s="102"/>
      <c r="G1826" s="122"/>
      <c r="H1826" s="10"/>
    </row>
    <row r="1827" spans="2:8" ht="15.75">
      <c r="B1827" s="111"/>
      <c r="C1827" s="111"/>
      <c r="D1827" s="102"/>
      <c r="E1827" s="130"/>
      <c r="F1827" s="102"/>
      <c r="G1827" s="122"/>
      <c r="H1827" s="10"/>
    </row>
    <row r="1828" spans="2:8" ht="15.75">
      <c r="B1828" s="111"/>
      <c r="C1828" s="111"/>
      <c r="D1828" s="102"/>
      <c r="E1828" s="130"/>
      <c r="F1828" s="102"/>
      <c r="G1828" s="122"/>
      <c r="H1828" s="10"/>
    </row>
    <row r="1829" spans="2:8" ht="15.75">
      <c r="B1829" s="111"/>
      <c r="C1829" s="111"/>
      <c r="D1829" s="102"/>
      <c r="E1829" s="130"/>
      <c r="F1829" s="102"/>
      <c r="G1829" s="122"/>
      <c r="H1829" s="10"/>
    </row>
    <row r="1830" spans="2:8" ht="15.75">
      <c r="B1830" s="111"/>
      <c r="C1830" s="111"/>
      <c r="D1830" s="102"/>
      <c r="E1830" s="130"/>
      <c r="F1830" s="102"/>
      <c r="G1830" s="122"/>
      <c r="H1830" s="10"/>
    </row>
    <row r="1831" spans="2:8" ht="15.75">
      <c r="B1831" s="111"/>
      <c r="C1831" s="111"/>
      <c r="D1831" s="102"/>
      <c r="E1831" s="130"/>
      <c r="F1831" s="102"/>
      <c r="G1831" s="122"/>
      <c r="H1831" s="10"/>
    </row>
    <row r="1832" spans="2:8" ht="15.75">
      <c r="B1832" s="111"/>
      <c r="C1832" s="111"/>
      <c r="D1832" s="102"/>
      <c r="E1832" s="130"/>
      <c r="F1832" s="102"/>
      <c r="G1832" s="122"/>
      <c r="H1832" s="10"/>
    </row>
    <row r="1833" spans="2:8" ht="15.75">
      <c r="B1833" s="111"/>
      <c r="C1833" s="111"/>
      <c r="D1833" s="102"/>
      <c r="E1833" s="130"/>
      <c r="F1833" s="102"/>
      <c r="G1833" s="122"/>
      <c r="H1833" s="10"/>
    </row>
    <row r="1834" spans="2:8" ht="15.75">
      <c r="B1834" s="111"/>
      <c r="C1834" s="111"/>
      <c r="D1834" s="102"/>
      <c r="E1834" s="130"/>
      <c r="F1834" s="102"/>
      <c r="G1834" s="122"/>
      <c r="H1834" s="10"/>
    </row>
    <row r="1835" spans="2:8" ht="15.75">
      <c r="B1835" s="111"/>
      <c r="C1835" s="111"/>
      <c r="D1835" s="102"/>
      <c r="E1835" s="130"/>
      <c r="F1835" s="102"/>
      <c r="G1835" s="122"/>
      <c r="H1835" s="10"/>
    </row>
    <row r="1836" spans="2:8" ht="15.75">
      <c r="B1836" s="111"/>
      <c r="C1836" s="111"/>
      <c r="D1836" s="102"/>
      <c r="E1836" s="130"/>
      <c r="F1836" s="102"/>
      <c r="G1836" s="122"/>
      <c r="H1836" s="10"/>
    </row>
    <row r="1837" spans="2:8" ht="15.75">
      <c r="B1837" s="111"/>
      <c r="C1837" s="111"/>
      <c r="D1837" s="102"/>
      <c r="E1837" s="130"/>
      <c r="F1837" s="102"/>
      <c r="G1837" s="122"/>
      <c r="H1837" s="10"/>
    </row>
    <row r="1838" spans="2:8" ht="15.75">
      <c r="B1838" s="111"/>
      <c r="C1838" s="111"/>
      <c r="D1838" s="102"/>
      <c r="E1838" s="130"/>
      <c r="F1838" s="102"/>
      <c r="G1838" s="122"/>
      <c r="H1838" s="10"/>
    </row>
    <row r="1839" spans="2:8" ht="15.75">
      <c r="B1839" s="111"/>
      <c r="C1839" s="111"/>
      <c r="D1839" s="102"/>
      <c r="E1839" s="130"/>
      <c r="F1839" s="102"/>
      <c r="G1839" s="122"/>
      <c r="H1839" s="10"/>
    </row>
    <row r="1840" spans="2:8" ht="15.75">
      <c r="B1840" s="111"/>
      <c r="C1840" s="111"/>
      <c r="D1840" s="102"/>
      <c r="E1840" s="130"/>
      <c r="F1840" s="102"/>
      <c r="G1840" s="122"/>
      <c r="H1840" s="10"/>
    </row>
    <row r="1841" spans="2:8" ht="15.75">
      <c r="B1841" s="111"/>
      <c r="C1841" s="111"/>
      <c r="D1841" s="102"/>
      <c r="E1841" s="130"/>
      <c r="F1841" s="102"/>
      <c r="G1841" s="122"/>
      <c r="H1841" s="10"/>
    </row>
    <row r="1842" spans="2:8" ht="15.75">
      <c r="B1842" s="111"/>
      <c r="C1842" s="111"/>
      <c r="D1842" s="102"/>
      <c r="E1842" s="130"/>
      <c r="F1842" s="102"/>
      <c r="G1842" s="122"/>
      <c r="H1842" s="10"/>
    </row>
    <row r="1843" spans="2:8" ht="15.75">
      <c r="B1843" s="111"/>
      <c r="C1843" s="111"/>
      <c r="D1843" s="102"/>
      <c r="E1843" s="130"/>
      <c r="F1843" s="102"/>
      <c r="G1843" s="122"/>
      <c r="H1843" s="10"/>
    </row>
    <row r="1844" spans="2:8" ht="15.75">
      <c r="B1844" s="111"/>
      <c r="C1844" s="111"/>
      <c r="D1844" s="102"/>
      <c r="E1844" s="130"/>
      <c r="F1844" s="102"/>
      <c r="G1844" s="122"/>
      <c r="H1844" s="10"/>
    </row>
    <row r="1845" spans="2:8" ht="15.75">
      <c r="B1845" s="111"/>
      <c r="C1845" s="111"/>
      <c r="D1845" s="102"/>
      <c r="E1845" s="130"/>
      <c r="F1845" s="102"/>
      <c r="G1845" s="122"/>
      <c r="H1845" s="10"/>
    </row>
    <row r="1846" spans="2:8" ht="15.75">
      <c r="B1846" s="111"/>
      <c r="C1846" s="111"/>
      <c r="D1846" s="102"/>
      <c r="E1846" s="130"/>
      <c r="F1846" s="102"/>
      <c r="G1846" s="122"/>
      <c r="H1846" s="10"/>
    </row>
    <row r="1847" spans="2:8" ht="15.75">
      <c r="B1847" s="111"/>
      <c r="C1847" s="111"/>
      <c r="D1847" s="102"/>
      <c r="E1847" s="130"/>
      <c r="F1847" s="102"/>
      <c r="G1847" s="122"/>
      <c r="H1847" s="10"/>
    </row>
    <row r="1848" spans="2:8" ht="15.75">
      <c r="B1848" s="111"/>
      <c r="C1848" s="111"/>
      <c r="D1848" s="102"/>
      <c r="E1848" s="130"/>
      <c r="F1848" s="102"/>
      <c r="G1848" s="122"/>
      <c r="H1848" s="10"/>
    </row>
    <row r="1849" spans="2:8" ht="15.75">
      <c r="B1849" s="111"/>
      <c r="C1849" s="111"/>
      <c r="D1849" s="102"/>
      <c r="E1849" s="130"/>
      <c r="F1849" s="102"/>
      <c r="G1849" s="122"/>
      <c r="H1849" s="10"/>
    </row>
    <row r="1850" spans="2:8" ht="15.75">
      <c r="B1850" s="111"/>
      <c r="C1850" s="111"/>
      <c r="D1850" s="102"/>
      <c r="E1850" s="130"/>
      <c r="F1850" s="102"/>
      <c r="G1850" s="122"/>
      <c r="H1850" s="10"/>
    </row>
    <row r="1851" spans="2:8" ht="15.75">
      <c r="B1851" s="111"/>
      <c r="C1851" s="111"/>
      <c r="D1851" s="102"/>
      <c r="E1851" s="130"/>
      <c r="F1851" s="102"/>
      <c r="G1851" s="122"/>
      <c r="H1851" s="10"/>
    </row>
    <row r="1852" spans="2:8" ht="15.75">
      <c r="B1852" s="111"/>
      <c r="C1852" s="111"/>
      <c r="D1852" s="102"/>
      <c r="E1852" s="130"/>
      <c r="F1852" s="102"/>
      <c r="G1852" s="122"/>
      <c r="H1852" s="10"/>
    </row>
    <row r="1853" spans="2:8" ht="15.75">
      <c r="B1853" s="111"/>
      <c r="C1853" s="111"/>
      <c r="D1853" s="102"/>
      <c r="E1853" s="130"/>
      <c r="F1853" s="102"/>
      <c r="G1853" s="122"/>
      <c r="H1853" s="10"/>
    </row>
    <row r="1854" spans="2:8" ht="15.75">
      <c r="B1854" s="111"/>
      <c r="C1854" s="111"/>
      <c r="D1854" s="102"/>
      <c r="E1854" s="130"/>
      <c r="F1854" s="102"/>
      <c r="G1854" s="122"/>
      <c r="H1854" s="10"/>
    </row>
    <row r="1855" spans="2:8" ht="15.75">
      <c r="B1855" s="111"/>
      <c r="C1855" s="111"/>
      <c r="D1855" s="102"/>
      <c r="E1855" s="130"/>
      <c r="F1855" s="102"/>
      <c r="G1855" s="122"/>
      <c r="H1855" s="10"/>
    </row>
    <row r="1856" spans="2:8" ht="15.75">
      <c r="B1856" s="111"/>
      <c r="C1856" s="111"/>
      <c r="D1856" s="102"/>
      <c r="E1856" s="130"/>
      <c r="F1856" s="102"/>
      <c r="G1856" s="122"/>
      <c r="H1856" s="10"/>
    </row>
    <row r="1857" spans="2:8" ht="15.75">
      <c r="B1857" s="111"/>
      <c r="C1857" s="111"/>
      <c r="D1857" s="102"/>
      <c r="E1857" s="130"/>
      <c r="F1857" s="102"/>
      <c r="G1857" s="122"/>
      <c r="H1857" s="10"/>
    </row>
    <row r="1858" spans="2:8" ht="15.75">
      <c r="B1858" s="111"/>
      <c r="C1858" s="111"/>
      <c r="D1858" s="102"/>
      <c r="E1858" s="130"/>
      <c r="F1858" s="102"/>
      <c r="G1858" s="122"/>
      <c r="H1858" s="10"/>
    </row>
    <row r="1859" spans="2:8" ht="15.75">
      <c r="B1859" s="111"/>
      <c r="C1859" s="111"/>
      <c r="D1859" s="102"/>
      <c r="E1859" s="130"/>
      <c r="F1859" s="102"/>
      <c r="G1859" s="122"/>
      <c r="H1859" s="10"/>
    </row>
    <row r="1860" spans="2:8" ht="15.75">
      <c r="B1860" s="111"/>
      <c r="C1860" s="111"/>
      <c r="D1860" s="102"/>
      <c r="E1860" s="130"/>
      <c r="F1860" s="102"/>
      <c r="G1860" s="122"/>
      <c r="H1860" s="10"/>
    </row>
    <row r="1861" spans="2:8" ht="15.75">
      <c r="B1861" s="111"/>
      <c r="C1861" s="111"/>
      <c r="D1861" s="102"/>
      <c r="E1861" s="130"/>
      <c r="F1861" s="102"/>
      <c r="G1861" s="122"/>
      <c r="H1861" s="10"/>
    </row>
    <row r="1862" spans="2:8" ht="15.75">
      <c r="B1862" s="111"/>
      <c r="C1862" s="111"/>
      <c r="D1862" s="102"/>
      <c r="E1862" s="130"/>
      <c r="F1862" s="102"/>
      <c r="G1862" s="122"/>
      <c r="H1862" s="10"/>
    </row>
    <row r="1863" spans="2:8" ht="15.75">
      <c r="B1863" s="111"/>
      <c r="C1863" s="111"/>
      <c r="D1863" s="102"/>
      <c r="E1863" s="130"/>
      <c r="F1863" s="102"/>
      <c r="G1863" s="122"/>
      <c r="H1863" s="10"/>
    </row>
    <row r="1864" spans="2:8" ht="15.75">
      <c r="B1864" s="111"/>
      <c r="C1864" s="111"/>
      <c r="D1864" s="102"/>
      <c r="E1864" s="130"/>
      <c r="F1864" s="102"/>
      <c r="G1864" s="122"/>
      <c r="H1864" s="10"/>
    </row>
    <row r="1865" spans="2:8" ht="15.75">
      <c r="B1865" s="111"/>
      <c r="C1865" s="111"/>
      <c r="D1865" s="102"/>
      <c r="E1865" s="130"/>
      <c r="F1865" s="102"/>
      <c r="G1865" s="122"/>
      <c r="H1865" s="10"/>
    </row>
    <row r="1866" spans="2:8" ht="15.75">
      <c r="B1866" s="111"/>
      <c r="C1866" s="111"/>
      <c r="D1866" s="102"/>
      <c r="E1866" s="130"/>
      <c r="F1866" s="102"/>
      <c r="G1866" s="122"/>
      <c r="H1866" s="10"/>
    </row>
    <row r="1867" spans="2:8" ht="15.75">
      <c r="B1867" s="111"/>
      <c r="C1867" s="111"/>
      <c r="D1867" s="102"/>
      <c r="E1867" s="130"/>
      <c r="F1867" s="102"/>
      <c r="G1867" s="122"/>
      <c r="H1867" s="10"/>
    </row>
    <row r="1868" spans="2:8" ht="15.75">
      <c r="B1868" s="111"/>
      <c r="C1868" s="111"/>
      <c r="D1868" s="102"/>
      <c r="E1868" s="130"/>
      <c r="F1868" s="102"/>
      <c r="G1868" s="122"/>
      <c r="H1868" s="10"/>
    </row>
    <row r="1869" spans="2:8" ht="15.75">
      <c r="B1869" s="111"/>
      <c r="C1869" s="111"/>
      <c r="D1869" s="102"/>
      <c r="E1869" s="130"/>
      <c r="F1869" s="102"/>
      <c r="G1869" s="122"/>
      <c r="H1869" s="10"/>
    </row>
    <row r="1870" spans="2:8" ht="15.75">
      <c r="B1870" s="111"/>
      <c r="C1870" s="111"/>
      <c r="D1870" s="102"/>
      <c r="E1870" s="130"/>
      <c r="F1870" s="102"/>
      <c r="G1870" s="122"/>
      <c r="H1870" s="10"/>
    </row>
    <row r="1871" spans="2:8" ht="15.75">
      <c r="B1871" s="111"/>
      <c r="C1871" s="111"/>
      <c r="D1871" s="102"/>
      <c r="E1871" s="130"/>
      <c r="F1871" s="102"/>
      <c r="G1871" s="122"/>
      <c r="H1871" s="10"/>
    </row>
    <row r="1872" spans="2:8" ht="15.75">
      <c r="B1872" s="111"/>
      <c r="C1872" s="111"/>
      <c r="D1872" s="102"/>
      <c r="E1872" s="130"/>
      <c r="F1872" s="102"/>
      <c r="G1872" s="122"/>
      <c r="H1872" s="10"/>
    </row>
    <row r="1873" spans="2:8" ht="15.75">
      <c r="B1873" s="111"/>
      <c r="C1873" s="111"/>
      <c r="D1873" s="102"/>
      <c r="E1873" s="130"/>
      <c r="F1873" s="102"/>
      <c r="G1873" s="122"/>
      <c r="H1873" s="10"/>
    </row>
    <row r="1874" spans="2:8" ht="15.75">
      <c r="B1874" s="111"/>
      <c r="C1874" s="111"/>
      <c r="D1874" s="102"/>
      <c r="E1874" s="130"/>
      <c r="F1874" s="102"/>
      <c r="G1874" s="122"/>
      <c r="H1874" s="10"/>
    </row>
    <row r="1875" spans="2:8" ht="15.75">
      <c r="B1875" s="111"/>
      <c r="C1875" s="111"/>
      <c r="D1875" s="102"/>
      <c r="E1875" s="130"/>
      <c r="F1875" s="102"/>
      <c r="G1875" s="122"/>
      <c r="H1875" s="10"/>
    </row>
    <row r="1876" spans="2:8" ht="15.75">
      <c r="B1876" s="111"/>
      <c r="C1876" s="111"/>
      <c r="D1876" s="102"/>
      <c r="E1876" s="130"/>
      <c r="F1876" s="102"/>
      <c r="G1876" s="122"/>
      <c r="H1876" s="10"/>
    </row>
    <row r="1877" spans="2:8" ht="15.75">
      <c r="B1877" s="111"/>
      <c r="C1877" s="111"/>
      <c r="D1877" s="102"/>
      <c r="E1877" s="130"/>
      <c r="F1877" s="102"/>
      <c r="G1877" s="122"/>
      <c r="H1877" s="10"/>
    </row>
    <row r="1878" spans="2:8" ht="15.75">
      <c r="B1878" s="111"/>
      <c r="C1878" s="111"/>
      <c r="D1878" s="102"/>
      <c r="E1878" s="130"/>
      <c r="F1878" s="102"/>
      <c r="G1878" s="122"/>
      <c r="H1878" s="10"/>
    </row>
    <row r="1879" spans="2:8" ht="15.75">
      <c r="B1879" s="111"/>
      <c r="C1879" s="111"/>
      <c r="D1879" s="102"/>
      <c r="E1879" s="130"/>
      <c r="F1879" s="102"/>
      <c r="G1879" s="122"/>
      <c r="H1879" s="10"/>
    </row>
    <row r="1880" spans="2:8" ht="15.75">
      <c r="B1880" s="111"/>
      <c r="C1880" s="111"/>
      <c r="D1880" s="102"/>
      <c r="E1880" s="130"/>
      <c r="F1880" s="102"/>
      <c r="G1880" s="122"/>
      <c r="H1880" s="10"/>
    </row>
    <row r="1881" spans="2:8" ht="15.75">
      <c r="B1881" s="111"/>
      <c r="C1881" s="111"/>
      <c r="D1881" s="102"/>
      <c r="E1881" s="130"/>
      <c r="F1881" s="102"/>
      <c r="G1881" s="122"/>
      <c r="H1881" s="10"/>
    </row>
    <row r="1882" spans="2:8" ht="15.75">
      <c r="B1882" s="111"/>
      <c r="C1882" s="111"/>
      <c r="D1882" s="102"/>
      <c r="E1882" s="130"/>
      <c r="F1882" s="102"/>
      <c r="G1882" s="122"/>
      <c r="H1882" s="10"/>
    </row>
    <row r="1883" spans="2:8" ht="15.75">
      <c r="B1883" s="111"/>
      <c r="C1883" s="111"/>
      <c r="D1883" s="102"/>
      <c r="E1883" s="130"/>
      <c r="F1883" s="102"/>
      <c r="G1883" s="122"/>
      <c r="H1883" s="10"/>
    </row>
    <row r="1884" spans="2:8" ht="15.75">
      <c r="B1884" s="111"/>
      <c r="C1884" s="111"/>
      <c r="D1884" s="102"/>
      <c r="E1884" s="130"/>
      <c r="F1884" s="102"/>
      <c r="G1884" s="122"/>
      <c r="H1884" s="10"/>
    </row>
    <row r="1885" spans="2:8" ht="15.75">
      <c r="B1885" s="111"/>
      <c r="C1885" s="111"/>
      <c r="D1885" s="102"/>
      <c r="E1885" s="130"/>
      <c r="F1885" s="102"/>
      <c r="G1885" s="122"/>
      <c r="H1885" s="10"/>
    </row>
    <row r="1886" spans="2:8" ht="15.75">
      <c r="B1886" s="111"/>
      <c r="C1886" s="111"/>
      <c r="D1886" s="102"/>
      <c r="E1886" s="130"/>
      <c r="F1886" s="102"/>
      <c r="G1886" s="122"/>
      <c r="H1886" s="10"/>
    </row>
    <row r="1887" spans="2:8" ht="15.75">
      <c r="B1887" s="111"/>
      <c r="C1887" s="111"/>
      <c r="D1887" s="102"/>
      <c r="E1887" s="130"/>
      <c r="F1887" s="102"/>
      <c r="G1887" s="122"/>
      <c r="H1887" s="10"/>
    </row>
    <row r="1888" spans="2:8" ht="15.75">
      <c r="B1888" s="111"/>
      <c r="C1888" s="111"/>
      <c r="D1888" s="102"/>
      <c r="E1888" s="130"/>
      <c r="F1888" s="102"/>
      <c r="G1888" s="122"/>
      <c r="H1888" s="10"/>
    </row>
    <row r="1889" spans="2:8" ht="15.75">
      <c r="B1889" s="111"/>
      <c r="C1889" s="111"/>
      <c r="D1889" s="102"/>
      <c r="E1889" s="130"/>
      <c r="F1889" s="102"/>
      <c r="G1889" s="122"/>
      <c r="H1889" s="10"/>
    </row>
    <row r="1890" spans="2:8" ht="15.75">
      <c r="B1890" s="111"/>
      <c r="C1890" s="111"/>
      <c r="D1890" s="102"/>
      <c r="E1890" s="130"/>
      <c r="F1890" s="102"/>
      <c r="G1890" s="122"/>
      <c r="H1890" s="10"/>
    </row>
    <row r="1891" spans="2:8" ht="15.75">
      <c r="B1891" s="111"/>
      <c r="C1891" s="111"/>
      <c r="D1891" s="102"/>
      <c r="E1891" s="130"/>
      <c r="F1891" s="102"/>
      <c r="G1891" s="122"/>
      <c r="H1891" s="10"/>
    </row>
    <row r="1892" spans="2:8" ht="15.75">
      <c r="B1892" s="111"/>
      <c r="C1892" s="111"/>
      <c r="D1892" s="102"/>
      <c r="E1892" s="130"/>
      <c r="F1892" s="102"/>
      <c r="G1892" s="122"/>
      <c r="H1892" s="10"/>
    </row>
    <row r="1893" spans="2:8" ht="15.75">
      <c r="B1893" s="111"/>
      <c r="C1893" s="111"/>
      <c r="D1893" s="102"/>
      <c r="E1893" s="130"/>
      <c r="F1893" s="102"/>
      <c r="G1893" s="122"/>
      <c r="H1893" s="10"/>
    </row>
    <row r="1894" spans="2:8" ht="15.75">
      <c r="B1894" s="111"/>
      <c r="C1894" s="111"/>
      <c r="D1894" s="102"/>
      <c r="E1894" s="130"/>
      <c r="F1894" s="102"/>
      <c r="G1894" s="122"/>
      <c r="H1894" s="10"/>
    </row>
    <row r="1895" spans="2:8" ht="15.75">
      <c r="B1895" s="111"/>
      <c r="C1895" s="111"/>
      <c r="D1895" s="102"/>
      <c r="E1895" s="130"/>
      <c r="F1895" s="102"/>
      <c r="G1895" s="122"/>
      <c r="H1895" s="10"/>
    </row>
    <row r="1896" spans="2:8" ht="15.75">
      <c r="B1896" s="111"/>
      <c r="C1896" s="111"/>
      <c r="D1896" s="102"/>
      <c r="E1896" s="130"/>
      <c r="F1896" s="102"/>
      <c r="G1896" s="122"/>
      <c r="H1896" s="10"/>
    </row>
    <row r="1897" spans="2:8" ht="15.75">
      <c r="B1897" s="111"/>
      <c r="C1897" s="111"/>
      <c r="D1897" s="102"/>
      <c r="E1897" s="130"/>
      <c r="F1897" s="102"/>
      <c r="G1897" s="122"/>
      <c r="H1897" s="10"/>
    </row>
    <row r="1898" spans="2:8" ht="15.75">
      <c r="B1898" s="111"/>
      <c r="C1898" s="111"/>
      <c r="D1898" s="102"/>
      <c r="E1898" s="130"/>
      <c r="F1898" s="102"/>
      <c r="G1898" s="122"/>
      <c r="H1898" s="10"/>
    </row>
    <row r="1899" spans="2:8" ht="15.75">
      <c r="B1899" s="111"/>
      <c r="C1899" s="111"/>
      <c r="D1899" s="102"/>
      <c r="E1899" s="130"/>
      <c r="F1899" s="102"/>
      <c r="G1899" s="122"/>
      <c r="H1899" s="10"/>
    </row>
    <row r="1900" spans="2:8" ht="15.75">
      <c r="B1900" s="111"/>
      <c r="C1900" s="111"/>
      <c r="D1900" s="102"/>
      <c r="E1900" s="130"/>
      <c r="F1900" s="102"/>
      <c r="G1900" s="122"/>
      <c r="H1900" s="10"/>
    </row>
    <row r="1901" spans="2:8" ht="15.75">
      <c r="B1901" s="111"/>
      <c r="C1901" s="111"/>
      <c r="D1901" s="102"/>
      <c r="E1901" s="130"/>
      <c r="F1901" s="102"/>
      <c r="G1901" s="122"/>
      <c r="H1901" s="10"/>
    </row>
    <row r="1902" spans="2:8" ht="15.75">
      <c r="B1902" s="111"/>
      <c r="C1902" s="111"/>
      <c r="D1902" s="102"/>
      <c r="E1902" s="130"/>
      <c r="F1902" s="102"/>
      <c r="G1902" s="122"/>
      <c r="H1902" s="10"/>
    </row>
    <row r="1903" spans="2:8" ht="15.75">
      <c r="B1903" s="111"/>
      <c r="C1903" s="111"/>
      <c r="D1903" s="102"/>
      <c r="E1903" s="130"/>
      <c r="F1903" s="102"/>
      <c r="G1903" s="122"/>
      <c r="H1903" s="10"/>
    </row>
    <row r="1904" spans="2:8" ht="15.75">
      <c r="B1904" s="111"/>
      <c r="C1904" s="111"/>
      <c r="D1904" s="102"/>
      <c r="E1904" s="130"/>
      <c r="F1904" s="102"/>
      <c r="G1904" s="122"/>
      <c r="H1904" s="10"/>
    </row>
    <row r="1905" spans="2:8" ht="15.75">
      <c r="B1905" s="111"/>
      <c r="C1905" s="111"/>
      <c r="D1905" s="102"/>
      <c r="E1905" s="130"/>
      <c r="F1905" s="102"/>
      <c r="G1905" s="122"/>
      <c r="H1905" s="10"/>
    </row>
    <row r="1906" spans="2:8" ht="15.75">
      <c r="B1906" s="111"/>
      <c r="C1906" s="111"/>
      <c r="D1906" s="102"/>
      <c r="E1906" s="130"/>
      <c r="F1906" s="102"/>
      <c r="G1906" s="122"/>
      <c r="H1906" s="10"/>
    </row>
    <row r="1907" spans="2:8" ht="15.75">
      <c r="B1907" s="111"/>
      <c r="C1907" s="111"/>
      <c r="D1907" s="102"/>
      <c r="E1907" s="130"/>
      <c r="F1907" s="102"/>
      <c r="G1907" s="122"/>
      <c r="H1907" s="10"/>
    </row>
    <row r="1908" spans="2:8" ht="15.75">
      <c r="B1908" s="111"/>
      <c r="C1908" s="111"/>
      <c r="D1908" s="102"/>
      <c r="E1908" s="130"/>
      <c r="F1908" s="102"/>
      <c r="G1908" s="122"/>
      <c r="H1908" s="10"/>
    </row>
    <row r="1909" spans="2:8" ht="15.75">
      <c r="B1909" s="111"/>
      <c r="C1909" s="111"/>
      <c r="D1909" s="102"/>
      <c r="E1909" s="130"/>
      <c r="F1909" s="102"/>
      <c r="G1909" s="122"/>
      <c r="H1909" s="10"/>
    </row>
    <row r="1910" spans="2:8" ht="15.75">
      <c r="B1910" s="111"/>
      <c r="C1910" s="111"/>
      <c r="D1910" s="102"/>
      <c r="E1910" s="130"/>
      <c r="F1910" s="102"/>
      <c r="G1910" s="122"/>
      <c r="H1910" s="10"/>
    </row>
    <row r="1911" spans="2:8" ht="15.75">
      <c r="B1911" s="111"/>
      <c r="C1911" s="111"/>
      <c r="D1911" s="102"/>
      <c r="E1911" s="130"/>
      <c r="F1911" s="102"/>
      <c r="G1911" s="122"/>
      <c r="H1911" s="10"/>
    </row>
    <row r="1912" spans="2:8" ht="15.75">
      <c r="B1912" s="111"/>
      <c r="C1912" s="111"/>
      <c r="D1912" s="102"/>
      <c r="E1912" s="130"/>
      <c r="F1912" s="102"/>
      <c r="G1912" s="122"/>
      <c r="H1912" s="10"/>
    </row>
    <row r="1913" spans="2:8" ht="15.75">
      <c r="B1913" s="111"/>
      <c r="C1913" s="111"/>
      <c r="D1913" s="102"/>
      <c r="E1913" s="130"/>
      <c r="F1913" s="102"/>
      <c r="G1913" s="122"/>
      <c r="H1913" s="10"/>
    </row>
    <row r="1914" spans="2:8" ht="15.75">
      <c r="B1914" s="111"/>
      <c r="C1914" s="111"/>
      <c r="D1914" s="102"/>
      <c r="E1914" s="130"/>
      <c r="F1914" s="102"/>
      <c r="G1914" s="122"/>
      <c r="H1914" s="10"/>
    </row>
    <row r="1915" spans="2:8" ht="15.75">
      <c r="B1915" s="111"/>
      <c r="C1915" s="111"/>
      <c r="D1915" s="102"/>
      <c r="E1915" s="130"/>
      <c r="F1915" s="102"/>
      <c r="G1915" s="122"/>
      <c r="H1915" s="10"/>
    </row>
    <row r="1916" spans="2:8" ht="15.75">
      <c r="B1916" s="111"/>
      <c r="C1916" s="111"/>
      <c r="D1916" s="102"/>
      <c r="E1916" s="130"/>
      <c r="F1916" s="102"/>
      <c r="G1916" s="122"/>
      <c r="H1916" s="10"/>
    </row>
    <row r="1917" spans="2:8" ht="15.75">
      <c r="B1917" s="111"/>
      <c r="C1917" s="111"/>
      <c r="D1917" s="102"/>
      <c r="E1917" s="130"/>
      <c r="F1917" s="102"/>
      <c r="G1917" s="122"/>
      <c r="H1917" s="10"/>
    </row>
    <row r="1918" spans="2:8" ht="15.75">
      <c r="B1918" s="111"/>
      <c r="C1918" s="111"/>
      <c r="D1918" s="102"/>
      <c r="E1918" s="130"/>
      <c r="F1918" s="102"/>
      <c r="G1918" s="122"/>
      <c r="H1918" s="10"/>
    </row>
    <row r="1919" spans="2:8" ht="15.75">
      <c r="B1919" s="111"/>
      <c r="C1919" s="111"/>
      <c r="D1919" s="102"/>
      <c r="E1919" s="130"/>
      <c r="F1919" s="102"/>
      <c r="G1919" s="122"/>
      <c r="H1919" s="10"/>
    </row>
    <row r="1920" spans="2:8" ht="15.75">
      <c r="B1920" s="111"/>
      <c r="C1920" s="111"/>
      <c r="D1920" s="102"/>
      <c r="E1920" s="130"/>
      <c r="F1920" s="102"/>
      <c r="G1920" s="122"/>
      <c r="H1920" s="10"/>
    </row>
    <row r="1921" spans="2:8" ht="15.75">
      <c r="B1921" s="111"/>
      <c r="C1921" s="111"/>
      <c r="D1921" s="102"/>
      <c r="E1921" s="130"/>
      <c r="F1921" s="102"/>
      <c r="G1921" s="122"/>
      <c r="H1921" s="10"/>
    </row>
    <row r="1922" spans="2:8" ht="15.75">
      <c r="B1922" s="111"/>
      <c r="C1922" s="111"/>
      <c r="D1922" s="102"/>
      <c r="E1922" s="130"/>
      <c r="F1922" s="102"/>
      <c r="G1922" s="122"/>
      <c r="H1922" s="10"/>
    </row>
    <row r="1923" spans="2:8" ht="15.75">
      <c r="B1923" s="111"/>
      <c r="C1923" s="111"/>
      <c r="D1923" s="102"/>
      <c r="E1923" s="130"/>
      <c r="F1923" s="102"/>
      <c r="G1923" s="122"/>
      <c r="H1923" s="10"/>
    </row>
    <row r="1924" spans="2:8" ht="15.75">
      <c r="B1924" s="111"/>
      <c r="C1924" s="111"/>
      <c r="D1924" s="102"/>
      <c r="E1924" s="130"/>
      <c r="F1924" s="102"/>
      <c r="G1924" s="122"/>
      <c r="H1924" s="10"/>
    </row>
    <row r="1925" spans="2:8" ht="15.75">
      <c r="B1925" s="111"/>
      <c r="C1925" s="111"/>
      <c r="D1925" s="102"/>
      <c r="E1925" s="130"/>
      <c r="F1925" s="102"/>
      <c r="G1925" s="122"/>
      <c r="H1925" s="10"/>
    </row>
    <row r="1926" spans="2:8" ht="15.75">
      <c r="B1926" s="111"/>
      <c r="C1926" s="111"/>
      <c r="D1926" s="102"/>
      <c r="E1926" s="130"/>
      <c r="F1926" s="102"/>
      <c r="G1926" s="122"/>
      <c r="H1926" s="10"/>
    </row>
    <row r="1927" spans="2:8" ht="15.75">
      <c r="B1927" s="111"/>
      <c r="C1927" s="111"/>
      <c r="D1927" s="102"/>
      <c r="E1927" s="130"/>
      <c r="F1927" s="102"/>
      <c r="G1927" s="122"/>
      <c r="H1927" s="10"/>
    </row>
    <row r="1928" spans="2:8" ht="15.75">
      <c r="B1928" s="111"/>
      <c r="C1928" s="111"/>
      <c r="D1928" s="102"/>
      <c r="E1928" s="130"/>
      <c r="F1928" s="102"/>
      <c r="G1928" s="122"/>
      <c r="H1928" s="10"/>
    </row>
    <row r="1929" spans="2:8" ht="15.75">
      <c r="B1929" s="111"/>
      <c r="C1929" s="111"/>
      <c r="D1929" s="102"/>
      <c r="E1929" s="130"/>
      <c r="F1929" s="102"/>
      <c r="G1929" s="122"/>
      <c r="H1929" s="10"/>
    </row>
    <row r="1930" spans="2:8" ht="15.75">
      <c r="B1930" s="111"/>
      <c r="C1930" s="111"/>
      <c r="D1930" s="102"/>
      <c r="E1930" s="130"/>
      <c r="F1930" s="102"/>
      <c r="G1930" s="122"/>
      <c r="H1930" s="10"/>
    </row>
    <row r="1931" spans="2:8" ht="15.75">
      <c r="B1931" s="111"/>
      <c r="C1931" s="111"/>
      <c r="D1931" s="102"/>
      <c r="E1931" s="130"/>
      <c r="F1931" s="102"/>
      <c r="G1931" s="122"/>
      <c r="H1931" s="10"/>
    </row>
    <row r="1932" spans="2:8" ht="15.75">
      <c r="B1932" s="111"/>
      <c r="C1932" s="111"/>
      <c r="D1932" s="102"/>
      <c r="E1932" s="130"/>
      <c r="F1932" s="102"/>
      <c r="G1932" s="122"/>
      <c r="H1932" s="10"/>
    </row>
    <row r="1933" spans="2:8" ht="15.75">
      <c r="B1933" s="111"/>
      <c r="C1933" s="111"/>
      <c r="D1933" s="102"/>
      <c r="E1933" s="130"/>
      <c r="F1933" s="102"/>
      <c r="G1933" s="122"/>
      <c r="H1933" s="10"/>
    </row>
    <row r="1934" spans="2:8" ht="15.75">
      <c r="B1934" s="111"/>
      <c r="C1934" s="111"/>
      <c r="D1934" s="102"/>
      <c r="E1934" s="130"/>
      <c r="F1934" s="102"/>
      <c r="G1934" s="122"/>
      <c r="H1934" s="10"/>
    </row>
    <row r="1935" spans="2:8" ht="15.75">
      <c r="B1935" s="111"/>
      <c r="C1935" s="111"/>
      <c r="D1935" s="102"/>
      <c r="E1935" s="130"/>
      <c r="F1935" s="102"/>
      <c r="G1935" s="122"/>
      <c r="H1935" s="10"/>
    </row>
    <row r="1936" spans="2:8" ht="15.75">
      <c r="B1936" s="111"/>
      <c r="C1936" s="111"/>
      <c r="D1936" s="102"/>
      <c r="E1936" s="130"/>
      <c r="F1936" s="102"/>
      <c r="G1936" s="122"/>
      <c r="H1936" s="10"/>
    </row>
    <row r="1937" spans="2:8" ht="15.75">
      <c r="B1937" s="111"/>
      <c r="C1937" s="111"/>
      <c r="D1937" s="102"/>
      <c r="E1937" s="130"/>
      <c r="F1937" s="102"/>
      <c r="G1937" s="122"/>
      <c r="H1937" s="10"/>
    </row>
    <row r="1938" spans="2:8" ht="15.75">
      <c r="B1938" s="111"/>
      <c r="C1938" s="111"/>
      <c r="D1938" s="102"/>
      <c r="E1938" s="130"/>
      <c r="F1938" s="102"/>
      <c r="G1938" s="122"/>
      <c r="H1938" s="10"/>
    </row>
    <row r="1939" spans="2:8" ht="15.75">
      <c r="B1939" s="111"/>
      <c r="C1939" s="111"/>
      <c r="D1939" s="102"/>
      <c r="E1939" s="130"/>
      <c r="F1939" s="102"/>
      <c r="G1939" s="122"/>
      <c r="H1939" s="10"/>
    </row>
    <row r="1940" spans="2:8" ht="15.75">
      <c r="B1940" s="111"/>
      <c r="C1940" s="111"/>
      <c r="D1940" s="102"/>
      <c r="E1940" s="130"/>
      <c r="F1940" s="102"/>
      <c r="G1940" s="122"/>
      <c r="H1940" s="10"/>
    </row>
    <row r="1941" spans="2:8" ht="15.75">
      <c r="B1941" s="111"/>
      <c r="C1941" s="111"/>
      <c r="D1941" s="102"/>
      <c r="E1941" s="130"/>
      <c r="F1941" s="102"/>
      <c r="G1941" s="122"/>
      <c r="H1941" s="10"/>
    </row>
    <row r="1942" spans="2:8" ht="15.75">
      <c r="B1942" s="111"/>
      <c r="C1942" s="111"/>
      <c r="D1942" s="102"/>
      <c r="E1942" s="130"/>
      <c r="F1942" s="102"/>
      <c r="G1942" s="122"/>
      <c r="H1942" s="10"/>
    </row>
    <row r="1943" spans="2:8" ht="15.75">
      <c r="B1943" s="111"/>
      <c r="C1943" s="111"/>
      <c r="D1943" s="102"/>
      <c r="E1943" s="130"/>
      <c r="F1943" s="102"/>
      <c r="G1943" s="122"/>
      <c r="H1943" s="10"/>
    </row>
    <row r="1944" spans="2:8" ht="15.75">
      <c r="B1944" s="111"/>
      <c r="C1944" s="111"/>
      <c r="D1944" s="102"/>
      <c r="E1944" s="130"/>
      <c r="F1944" s="102"/>
      <c r="G1944" s="122"/>
      <c r="H1944" s="10"/>
    </row>
    <row r="1945" spans="2:8" ht="15.75">
      <c r="B1945" s="111"/>
      <c r="C1945" s="111"/>
      <c r="D1945" s="102"/>
      <c r="E1945" s="130"/>
      <c r="F1945" s="102"/>
      <c r="G1945" s="122"/>
      <c r="H1945" s="10"/>
    </row>
    <row r="1946" spans="2:8" ht="15.75">
      <c r="B1946" s="111"/>
      <c r="C1946" s="111"/>
      <c r="D1946" s="102"/>
      <c r="E1946" s="130"/>
      <c r="F1946" s="102"/>
      <c r="G1946" s="122"/>
      <c r="H1946" s="10"/>
    </row>
    <row r="1947" spans="2:8" ht="15.75">
      <c r="B1947" s="111"/>
      <c r="C1947" s="111"/>
      <c r="D1947" s="102"/>
      <c r="E1947" s="130"/>
      <c r="F1947" s="102"/>
      <c r="G1947" s="122"/>
      <c r="H1947" s="10"/>
    </row>
    <row r="1948" spans="2:8" ht="15.75">
      <c r="B1948" s="111"/>
      <c r="C1948" s="111"/>
      <c r="D1948" s="102"/>
      <c r="E1948" s="130"/>
      <c r="F1948" s="102"/>
      <c r="G1948" s="122"/>
      <c r="H1948" s="10"/>
    </row>
    <row r="1949" spans="2:8" ht="15.75">
      <c r="B1949" s="111"/>
      <c r="C1949" s="111"/>
      <c r="D1949" s="102"/>
      <c r="E1949" s="130"/>
      <c r="F1949" s="102"/>
      <c r="G1949" s="122"/>
      <c r="H1949" s="10"/>
    </row>
    <row r="1950" spans="2:8" ht="15.75">
      <c r="B1950" s="111"/>
      <c r="C1950" s="111"/>
      <c r="D1950" s="102"/>
      <c r="E1950" s="130"/>
      <c r="F1950" s="102"/>
      <c r="G1950" s="122"/>
      <c r="H1950" s="10"/>
    </row>
    <row r="1951" spans="2:8" ht="15.75">
      <c r="B1951" s="111"/>
      <c r="C1951" s="111"/>
      <c r="D1951" s="102"/>
      <c r="E1951" s="130"/>
      <c r="F1951" s="102"/>
      <c r="G1951" s="122"/>
      <c r="H1951" s="10"/>
    </row>
    <row r="1952" spans="2:8" ht="15.75">
      <c r="B1952" s="111"/>
      <c r="C1952" s="111"/>
      <c r="D1952" s="102"/>
      <c r="E1952" s="130"/>
      <c r="F1952" s="102"/>
      <c r="G1952" s="122"/>
      <c r="H1952" s="10"/>
    </row>
    <row r="1953" spans="2:9" ht="15.75">
      <c r="B1953" s="111"/>
      <c r="C1953" s="111"/>
      <c r="D1953" s="102"/>
      <c r="E1953" s="130"/>
      <c r="F1953" s="102"/>
      <c r="G1953" s="122"/>
      <c r="H1953" s="10"/>
    </row>
    <row r="1954" spans="2:9" ht="15.75">
      <c r="B1954" s="111"/>
      <c r="C1954" s="111"/>
      <c r="D1954" s="102"/>
      <c r="E1954" s="130"/>
      <c r="F1954" s="102"/>
      <c r="G1954" s="122"/>
      <c r="H1954" s="10"/>
    </row>
    <row r="1955" spans="2:9" ht="15.75">
      <c r="B1955" s="111"/>
      <c r="C1955" s="111"/>
      <c r="D1955" s="102"/>
      <c r="E1955" s="130"/>
      <c r="F1955" s="102"/>
      <c r="G1955" s="122"/>
      <c r="H1955" s="10"/>
    </row>
    <row r="1956" spans="2:9" ht="15.75">
      <c r="B1956" s="111"/>
      <c r="C1956" s="111"/>
      <c r="D1956" s="102"/>
      <c r="E1956" s="130"/>
      <c r="F1956" s="102"/>
      <c r="G1956" s="122"/>
      <c r="H1956" s="10"/>
    </row>
    <row r="1957" spans="2:9" ht="15.75">
      <c r="B1957" s="111"/>
      <c r="C1957" s="111"/>
      <c r="D1957" s="102"/>
      <c r="E1957" s="130"/>
      <c r="F1957" s="102"/>
      <c r="G1957" s="122"/>
      <c r="H1957" s="10"/>
    </row>
    <row r="1958" spans="2:9" ht="15.75">
      <c r="C1958" s="111"/>
      <c r="D1958" s="102"/>
      <c r="E1958" s="130"/>
      <c r="F1958" s="102"/>
      <c r="G1958" s="122"/>
      <c r="H1958" s="85"/>
      <c r="I1958" s="85"/>
    </row>
    <row r="1959" spans="2:9" ht="15.75">
      <c r="C1959" s="111"/>
      <c r="D1959" s="102"/>
      <c r="E1959" s="130"/>
      <c r="F1959" s="102"/>
      <c r="G1959" s="122"/>
      <c r="H1959" s="85"/>
      <c r="I1959" s="85"/>
    </row>
    <row r="1960" spans="2:9" ht="15.75">
      <c r="C1960" s="111"/>
      <c r="D1960" s="102"/>
      <c r="E1960" s="130"/>
      <c r="F1960" s="102"/>
      <c r="G1960" s="122"/>
      <c r="H1960" s="85"/>
      <c r="I1960" s="85"/>
    </row>
    <row r="1961" spans="2:9" ht="15.75">
      <c r="C1961" s="111"/>
      <c r="D1961" s="102"/>
      <c r="E1961" s="130"/>
      <c r="F1961" s="102"/>
      <c r="G1961" s="122"/>
      <c r="H1961" s="85"/>
      <c r="I1961" s="85"/>
    </row>
    <row r="1962" spans="2:9" ht="15.75">
      <c r="C1962" s="111"/>
      <c r="D1962" s="102"/>
      <c r="E1962" s="130"/>
      <c r="F1962" s="102"/>
      <c r="G1962" s="122"/>
      <c r="H1962" s="85"/>
      <c r="I1962" s="85"/>
    </row>
    <row r="1963" spans="2:9" ht="15.75">
      <c r="C1963" s="111"/>
      <c r="D1963" s="102"/>
      <c r="E1963" s="130"/>
      <c r="F1963" s="102"/>
      <c r="G1963" s="122"/>
      <c r="H1963" s="85"/>
      <c r="I1963" s="85"/>
    </row>
    <row r="1964" spans="2:9" ht="15.75">
      <c r="C1964" s="111"/>
      <c r="D1964" s="102"/>
      <c r="E1964" s="130"/>
      <c r="F1964" s="102"/>
      <c r="G1964" s="122"/>
      <c r="H1964" s="85"/>
      <c r="I1964" s="85"/>
    </row>
    <row r="1965" spans="2:9" ht="15.75">
      <c r="C1965" s="111"/>
      <c r="D1965" s="102"/>
      <c r="E1965" s="130"/>
      <c r="F1965" s="102"/>
      <c r="G1965" s="122"/>
      <c r="H1965" s="85"/>
      <c r="I1965" s="85"/>
    </row>
    <row r="1966" spans="2:9" ht="15.75">
      <c r="C1966" s="111"/>
      <c r="D1966" s="102"/>
      <c r="E1966" s="130"/>
      <c r="F1966" s="102"/>
      <c r="G1966" s="122"/>
      <c r="H1966" s="85"/>
      <c r="I1966" s="85"/>
    </row>
    <row r="1967" spans="2:9" ht="15.75">
      <c r="C1967" s="111"/>
      <c r="D1967" s="102"/>
      <c r="E1967" s="130"/>
      <c r="F1967" s="102"/>
      <c r="G1967" s="122"/>
      <c r="H1967" s="85"/>
      <c r="I1967" s="85"/>
    </row>
    <row r="1968" spans="2:9" ht="15.75">
      <c r="C1968" s="111"/>
      <c r="D1968" s="102"/>
      <c r="E1968" s="130"/>
      <c r="F1968" s="102"/>
      <c r="G1968" s="122"/>
      <c r="H1968" s="85"/>
      <c r="I1968" s="85"/>
    </row>
    <row r="1969" spans="3:9" ht="15.75">
      <c r="C1969" s="111"/>
      <c r="D1969" s="102"/>
      <c r="E1969" s="130"/>
      <c r="F1969" s="102"/>
      <c r="G1969" s="122"/>
      <c r="H1969" s="85"/>
      <c r="I1969" s="85"/>
    </row>
    <row r="1970" spans="3:9" ht="15.75">
      <c r="C1970" s="111"/>
      <c r="D1970" s="102"/>
      <c r="E1970" s="130"/>
      <c r="F1970" s="102"/>
      <c r="G1970" s="122"/>
      <c r="H1970" s="85"/>
      <c r="I1970" s="85"/>
    </row>
    <row r="1971" spans="3:9" ht="15.75">
      <c r="C1971" s="111"/>
      <c r="D1971" s="102"/>
      <c r="E1971" s="130"/>
      <c r="F1971" s="102"/>
      <c r="G1971" s="122"/>
      <c r="H1971" s="85"/>
      <c r="I1971" s="85"/>
    </row>
    <row r="1972" spans="3:9" ht="15.75">
      <c r="C1972" s="111"/>
      <c r="D1972" s="102"/>
      <c r="E1972" s="130"/>
      <c r="F1972" s="102"/>
      <c r="G1972" s="122"/>
      <c r="H1972" s="85"/>
      <c r="I1972" s="85"/>
    </row>
    <row r="1973" spans="3:9" ht="15.75">
      <c r="C1973" s="111"/>
      <c r="D1973" s="102"/>
      <c r="E1973" s="130"/>
      <c r="F1973" s="102"/>
      <c r="G1973" s="122"/>
      <c r="H1973" s="85"/>
      <c r="I1973" s="85"/>
    </row>
    <row r="1974" spans="3:9" ht="15.75">
      <c r="C1974" s="111"/>
      <c r="D1974" s="102"/>
      <c r="E1974" s="130"/>
      <c r="F1974" s="102"/>
      <c r="G1974" s="122"/>
      <c r="H1974" s="85"/>
      <c r="I1974" s="85"/>
    </row>
    <row r="1975" spans="3:9" ht="15.75">
      <c r="C1975" s="111"/>
      <c r="D1975" s="102"/>
      <c r="E1975" s="130"/>
      <c r="F1975" s="102"/>
      <c r="G1975" s="122"/>
      <c r="H1975" s="85"/>
      <c r="I1975" s="85"/>
    </row>
    <row r="1976" spans="3:9" ht="15.75">
      <c r="C1976" s="111"/>
      <c r="D1976" s="102"/>
      <c r="E1976" s="130"/>
      <c r="F1976" s="102"/>
      <c r="G1976" s="122"/>
      <c r="H1976" s="85"/>
      <c r="I1976" s="85"/>
    </row>
    <row r="1977" spans="3:9" ht="15.75">
      <c r="C1977" s="111"/>
      <c r="D1977" s="102"/>
      <c r="E1977" s="130"/>
      <c r="F1977" s="102"/>
      <c r="G1977" s="122"/>
      <c r="H1977" s="85"/>
      <c r="I1977" s="85"/>
    </row>
    <row r="1978" spans="3:9" ht="15.75">
      <c r="C1978" s="111"/>
      <c r="D1978" s="102"/>
      <c r="E1978" s="130"/>
      <c r="F1978" s="102"/>
      <c r="G1978" s="122"/>
      <c r="H1978" s="85"/>
      <c r="I1978" s="85"/>
    </row>
    <row r="1979" spans="3:9" ht="15.75">
      <c r="C1979" s="111"/>
      <c r="D1979" s="102"/>
      <c r="E1979" s="130"/>
      <c r="F1979" s="102"/>
      <c r="G1979" s="122"/>
      <c r="H1979" s="85"/>
      <c r="I1979" s="85"/>
    </row>
    <row r="1980" spans="3:9" ht="15.75">
      <c r="C1980" s="111"/>
      <c r="D1980" s="102"/>
      <c r="E1980" s="130"/>
      <c r="F1980" s="102"/>
      <c r="G1980" s="122"/>
      <c r="H1980" s="85"/>
      <c r="I1980" s="85"/>
    </row>
    <row r="1981" spans="3:9" ht="15.75">
      <c r="C1981" s="111"/>
      <c r="D1981" s="102"/>
      <c r="E1981" s="130"/>
      <c r="F1981" s="102"/>
      <c r="G1981" s="122"/>
      <c r="H1981" s="85"/>
      <c r="I1981" s="85"/>
    </row>
    <row r="1982" spans="3:9" ht="15.75">
      <c r="C1982" s="111"/>
      <c r="D1982" s="102"/>
      <c r="E1982" s="130"/>
      <c r="F1982" s="102"/>
      <c r="G1982" s="122"/>
      <c r="H1982" s="85"/>
      <c r="I1982" s="85"/>
    </row>
    <row r="1983" spans="3:9" ht="15.75">
      <c r="C1983" s="111"/>
      <c r="D1983" s="102"/>
      <c r="E1983" s="130"/>
      <c r="F1983" s="102"/>
      <c r="G1983" s="122"/>
      <c r="H1983" s="85"/>
      <c r="I1983" s="85"/>
    </row>
    <row r="1984" spans="3:9" ht="15.75">
      <c r="C1984" s="111"/>
      <c r="D1984" s="102"/>
      <c r="E1984" s="130"/>
      <c r="F1984" s="102"/>
      <c r="G1984" s="122"/>
      <c r="H1984" s="85"/>
      <c r="I1984" s="85"/>
    </row>
    <row r="1985" spans="3:9" ht="15.75">
      <c r="C1985" s="111"/>
      <c r="D1985" s="102"/>
      <c r="E1985" s="130"/>
      <c r="F1985" s="102"/>
      <c r="G1985" s="122"/>
      <c r="H1985" s="85"/>
      <c r="I1985" s="85"/>
    </row>
    <row r="1986" spans="3:9" ht="15.75">
      <c r="C1986" s="111"/>
      <c r="D1986" s="102"/>
      <c r="E1986" s="130"/>
      <c r="F1986" s="102"/>
      <c r="G1986" s="122"/>
      <c r="H1986" s="85"/>
      <c r="I1986" s="85"/>
    </row>
    <row r="1987" spans="3:9" ht="15.75">
      <c r="C1987" s="111"/>
      <c r="D1987" s="102"/>
      <c r="E1987" s="130"/>
      <c r="F1987" s="102"/>
      <c r="G1987" s="122"/>
      <c r="H1987" s="85"/>
      <c r="I1987" s="85"/>
    </row>
    <row r="1988" spans="3:9" ht="15.75">
      <c r="C1988" s="111"/>
      <c r="D1988" s="102"/>
      <c r="E1988" s="130"/>
      <c r="F1988" s="102"/>
      <c r="G1988" s="122"/>
      <c r="H1988" s="85"/>
      <c r="I1988" s="85"/>
    </row>
    <row r="1989" spans="3:9" ht="15.75">
      <c r="C1989" s="111"/>
      <c r="D1989" s="102"/>
      <c r="E1989" s="130"/>
      <c r="F1989" s="102"/>
      <c r="G1989" s="122"/>
      <c r="H1989" s="85"/>
      <c r="I1989" s="85"/>
    </row>
    <row r="1990" spans="3:9" ht="15.75">
      <c r="C1990" s="111"/>
      <c r="D1990" s="102"/>
      <c r="E1990" s="130"/>
      <c r="F1990" s="102"/>
      <c r="G1990" s="122"/>
      <c r="H1990" s="85"/>
      <c r="I1990" s="85"/>
    </row>
    <row r="1991" spans="3:9" ht="15.75">
      <c r="C1991" s="111"/>
      <c r="D1991" s="102"/>
      <c r="E1991" s="130"/>
      <c r="F1991" s="102"/>
      <c r="G1991" s="122"/>
      <c r="H1991" s="85"/>
      <c r="I1991" s="85"/>
    </row>
    <row r="1992" spans="3:9" ht="15.75">
      <c r="C1992" s="111"/>
      <c r="D1992" s="102"/>
      <c r="E1992" s="130"/>
      <c r="F1992" s="102"/>
      <c r="G1992" s="122"/>
      <c r="H1992" s="85"/>
      <c r="I1992" s="85"/>
    </row>
    <row r="1993" spans="3:9" ht="15.75">
      <c r="C1993" s="111"/>
      <c r="D1993" s="102"/>
      <c r="E1993" s="130"/>
      <c r="F1993" s="102"/>
      <c r="G1993" s="122"/>
      <c r="H1993" s="85"/>
      <c r="I1993" s="85"/>
    </row>
    <row r="1994" spans="3:9" ht="15.75">
      <c r="C1994" s="111"/>
      <c r="D1994" s="102"/>
      <c r="E1994" s="130"/>
      <c r="F1994" s="102"/>
      <c r="G1994" s="122"/>
      <c r="H1994" s="85"/>
      <c r="I1994" s="85"/>
    </row>
    <row r="1995" spans="3:9" ht="15.75">
      <c r="C1995" s="111"/>
      <c r="D1995" s="102"/>
      <c r="E1995" s="130"/>
      <c r="F1995" s="102"/>
      <c r="G1995" s="122"/>
      <c r="H1995" s="85"/>
      <c r="I1995" s="85"/>
    </row>
    <row r="1996" spans="3:9" ht="15.75">
      <c r="C1996" s="111"/>
      <c r="D1996" s="102"/>
      <c r="E1996" s="130"/>
      <c r="F1996" s="102"/>
      <c r="G1996" s="122"/>
      <c r="H1996" s="85"/>
      <c r="I1996" s="85"/>
    </row>
    <row r="1997" spans="3:9" ht="15.75">
      <c r="C1997" s="111"/>
      <c r="D1997" s="102"/>
      <c r="E1997" s="130"/>
      <c r="F1997" s="102"/>
      <c r="G1997" s="122"/>
      <c r="H1997" s="85"/>
      <c r="I1997" s="85"/>
    </row>
    <row r="1998" spans="3:9" ht="15.75">
      <c r="C1998" s="111"/>
      <c r="D1998" s="102"/>
      <c r="E1998" s="130"/>
      <c r="F1998" s="102"/>
      <c r="G1998" s="122"/>
      <c r="H1998" s="85"/>
      <c r="I1998" s="85"/>
    </row>
    <row r="1999" spans="3:9" ht="15.75">
      <c r="C1999" s="111"/>
      <c r="D1999" s="102"/>
      <c r="E1999" s="130"/>
      <c r="F1999" s="102"/>
      <c r="G1999" s="122"/>
      <c r="H1999" s="85"/>
      <c r="I1999" s="85"/>
    </row>
    <row r="2000" spans="3:9" ht="15.75">
      <c r="C2000" s="111"/>
      <c r="D2000" s="102"/>
      <c r="E2000" s="130"/>
      <c r="F2000" s="102"/>
      <c r="G2000" s="122"/>
      <c r="H2000" s="85"/>
      <c r="I2000" s="85"/>
    </row>
    <row r="2001" spans="3:9" ht="15.75">
      <c r="C2001" s="111"/>
      <c r="D2001" s="102"/>
      <c r="E2001" s="130"/>
      <c r="F2001" s="102"/>
      <c r="G2001" s="122"/>
      <c r="H2001" s="85"/>
      <c r="I2001" s="85"/>
    </row>
    <row r="2002" spans="3:9" ht="15.75">
      <c r="C2002" s="111"/>
      <c r="D2002" s="102"/>
      <c r="E2002" s="130"/>
      <c r="F2002" s="102"/>
      <c r="G2002" s="122"/>
      <c r="H2002" s="85"/>
      <c r="I2002" s="85"/>
    </row>
    <row r="2003" spans="3:9" ht="15.75">
      <c r="C2003" s="111"/>
      <c r="D2003" s="102"/>
      <c r="E2003" s="130"/>
      <c r="F2003" s="102"/>
      <c r="G2003" s="122"/>
      <c r="H2003" s="85"/>
      <c r="I2003" s="85"/>
    </row>
    <row r="2004" spans="3:9" ht="15.75">
      <c r="C2004" s="111"/>
      <c r="D2004" s="102"/>
      <c r="E2004" s="130"/>
      <c r="F2004" s="102"/>
      <c r="G2004" s="122"/>
      <c r="H2004" s="85"/>
      <c r="I2004" s="85"/>
    </row>
    <row r="2005" spans="3:9" ht="15.75">
      <c r="C2005" s="111"/>
      <c r="D2005" s="102"/>
      <c r="E2005" s="130"/>
      <c r="F2005" s="102"/>
      <c r="G2005" s="122"/>
      <c r="H2005" s="85"/>
      <c r="I2005" s="85"/>
    </row>
    <row r="2006" spans="3:9" ht="15.75">
      <c r="C2006" s="111"/>
      <c r="D2006" s="102"/>
      <c r="E2006" s="130"/>
      <c r="F2006" s="102"/>
      <c r="G2006" s="122"/>
      <c r="H2006" s="85"/>
      <c r="I2006" s="85"/>
    </row>
    <row r="2007" spans="3:9" ht="15.75">
      <c r="C2007" s="111"/>
      <c r="D2007" s="102"/>
      <c r="E2007" s="130"/>
      <c r="F2007" s="102"/>
      <c r="G2007" s="122"/>
      <c r="H2007" s="85"/>
      <c r="I2007" s="85"/>
    </row>
    <row r="2008" spans="3:9" ht="15.75">
      <c r="C2008" s="111"/>
      <c r="D2008" s="102"/>
      <c r="E2008" s="130"/>
      <c r="F2008" s="102"/>
      <c r="G2008" s="122"/>
      <c r="H2008" s="85"/>
      <c r="I2008" s="85"/>
    </row>
    <row r="2009" spans="3:9" ht="15.75">
      <c r="C2009" s="111"/>
      <c r="D2009" s="102"/>
      <c r="E2009" s="130"/>
      <c r="F2009" s="102"/>
      <c r="G2009" s="122"/>
      <c r="H2009" s="85"/>
      <c r="I2009" s="85"/>
    </row>
    <row r="2010" spans="3:9" ht="15.75">
      <c r="C2010" s="111"/>
      <c r="D2010" s="102"/>
      <c r="E2010" s="130"/>
      <c r="F2010" s="102"/>
      <c r="G2010" s="122"/>
      <c r="H2010" s="85"/>
      <c r="I2010" s="85"/>
    </row>
    <row r="2011" spans="3:9" ht="15.75">
      <c r="C2011" s="111"/>
      <c r="D2011" s="102"/>
      <c r="E2011" s="130"/>
      <c r="F2011" s="102"/>
      <c r="G2011" s="122"/>
      <c r="H2011" s="85"/>
      <c r="I2011" s="85"/>
    </row>
    <row r="2012" spans="3:9" ht="15.75">
      <c r="C2012" s="111"/>
      <c r="D2012" s="102"/>
      <c r="E2012" s="130"/>
      <c r="F2012" s="102"/>
      <c r="G2012" s="122"/>
      <c r="H2012" s="85"/>
      <c r="I2012" s="85"/>
    </row>
    <row r="2013" spans="3:9" ht="15.75">
      <c r="C2013" s="111"/>
      <c r="D2013" s="102"/>
      <c r="E2013" s="130"/>
      <c r="F2013" s="102"/>
      <c r="G2013" s="122"/>
      <c r="H2013" s="85"/>
      <c r="I2013" s="85"/>
    </row>
    <row r="2014" spans="3:9" ht="15.75">
      <c r="C2014" s="111"/>
      <c r="D2014" s="102"/>
      <c r="E2014" s="130"/>
      <c r="F2014" s="102"/>
      <c r="G2014" s="122"/>
      <c r="H2014" s="85"/>
      <c r="I2014" s="85"/>
    </row>
    <row r="2015" spans="3:9" ht="15.75">
      <c r="C2015" s="111"/>
      <c r="D2015" s="102"/>
      <c r="E2015" s="130"/>
      <c r="F2015" s="102"/>
      <c r="G2015" s="122"/>
      <c r="H2015" s="85"/>
      <c r="I2015" s="85"/>
    </row>
    <row r="2016" spans="3:9" ht="15.75">
      <c r="C2016" s="111"/>
      <c r="D2016" s="102"/>
      <c r="E2016" s="130"/>
      <c r="F2016" s="102"/>
      <c r="G2016" s="122"/>
      <c r="H2016" s="85"/>
      <c r="I2016" s="85"/>
    </row>
    <row r="2017" spans="3:9" ht="15.75">
      <c r="C2017" s="111"/>
      <c r="D2017" s="102"/>
      <c r="E2017" s="130"/>
      <c r="F2017" s="102"/>
      <c r="G2017" s="122"/>
      <c r="H2017" s="85"/>
      <c r="I2017" s="85"/>
    </row>
    <row r="2018" spans="3:9" ht="15.75">
      <c r="C2018" s="111"/>
      <c r="D2018" s="102"/>
      <c r="E2018" s="130"/>
      <c r="F2018" s="102"/>
      <c r="G2018" s="122"/>
      <c r="H2018" s="85"/>
      <c r="I2018" s="85"/>
    </row>
    <row r="2019" spans="3:9" ht="15.75">
      <c r="C2019" s="111"/>
      <c r="D2019" s="102"/>
      <c r="E2019" s="130"/>
      <c r="F2019" s="102"/>
      <c r="G2019" s="122"/>
      <c r="H2019" s="85"/>
      <c r="I2019" s="85"/>
    </row>
    <row r="2020" spans="3:9" ht="15.75">
      <c r="C2020" s="111"/>
      <c r="D2020" s="102"/>
      <c r="E2020" s="130"/>
      <c r="F2020" s="102"/>
      <c r="G2020" s="122"/>
      <c r="H2020" s="85"/>
      <c r="I2020" s="85"/>
    </row>
    <row r="2021" spans="3:9" ht="15.75">
      <c r="C2021" s="111"/>
      <c r="D2021" s="102"/>
      <c r="E2021" s="130"/>
      <c r="F2021" s="102"/>
      <c r="G2021" s="122"/>
      <c r="H2021" s="85"/>
      <c r="I2021" s="85"/>
    </row>
    <row r="2022" spans="3:9" ht="15.75">
      <c r="C2022" s="111"/>
      <c r="D2022" s="102"/>
      <c r="E2022" s="130"/>
      <c r="F2022" s="102"/>
      <c r="G2022" s="122"/>
      <c r="H2022" s="85"/>
      <c r="I2022" s="85"/>
    </row>
    <row r="2023" spans="3:9" ht="15.75">
      <c r="C2023" s="111"/>
      <c r="D2023" s="102"/>
      <c r="E2023" s="130"/>
      <c r="F2023" s="102"/>
      <c r="G2023" s="122"/>
      <c r="H2023" s="85"/>
      <c r="I2023" s="85"/>
    </row>
    <row r="2024" spans="3:9" ht="15.75">
      <c r="C2024" s="111"/>
      <c r="D2024" s="102"/>
      <c r="E2024" s="130"/>
      <c r="F2024" s="102"/>
      <c r="G2024" s="122"/>
      <c r="H2024" s="85"/>
      <c r="I2024" s="85"/>
    </row>
    <row r="2025" spans="3:9" ht="15.75">
      <c r="C2025" s="111"/>
      <c r="D2025" s="102"/>
      <c r="E2025" s="130"/>
      <c r="F2025" s="102"/>
      <c r="G2025" s="122"/>
      <c r="H2025" s="85"/>
      <c r="I2025" s="85"/>
    </row>
    <row r="2026" spans="3:9" ht="15.75">
      <c r="C2026" s="111"/>
      <c r="D2026" s="102"/>
      <c r="E2026" s="130"/>
      <c r="F2026" s="102"/>
      <c r="G2026" s="122"/>
      <c r="H2026" s="85"/>
      <c r="I2026" s="85"/>
    </row>
    <row r="2027" spans="3:9" ht="15.75">
      <c r="C2027" s="111"/>
      <c r="D2027" s="102"/>
      <c r="E2027" s="130"/>
      <c r="F2027" s="102"/>
      <c r="G2027" s="122"/>
      <c r="H2027" s="85"/>
      <c r="I2027" s="85"/>
    </row>
    <row r="2028" spans="3:9" ht="15.75">
      <c r="C2028" s="111"/>
      <c r="D2028" s="102"/>
      <c r="E2028" s="130"/>
      <c r="F2028" s="102"/>
      <c r="G2028" s="122"/>
      <c r="H2028" s="85"/>
      <c r="I2028" s="85"/>
    </row>
    <row r="2029" spans="3:9" ht="15.75">
      <c r="C2029" s="111"/>
      <c r="D2029" s="102"/>
      <c r="E2029" s="130"/>
      <c r="F2029" s="102"/>
      <c r="G2029" s="122"/>
      <c r="H2029" s="85"/>
      <c r="I2029" s="85"/>
    </row>
    <row r="2030" spans="3:9" ht="15.75">
      <c r="C2030" s="111"/>
      <c r="D2030" s="102"/>
      <c r="E2030" s="130"/>
      <c r="F2030" s="102"/>
      <c r="G2030" s="122"/>
      <c r="H2030" s="85"/>
      <c r="I2030" s="85"/>
    </row>
    <row r="2031" spans="3:9" ht="15.75">
      <c r="C2031" s="111"/>
      <c r="D2031" s="102"/>
      <c r="E2031" s="130"/>
      <c r="F2031" s="102"/>
      <c r="G2031" s="122"/>
      <c r="H2031" s="85"/>
      <c r="I2031" s="85"/>
    </row>
    <row r="2032" spans="3:9" ht="15.75">
      <c r="C2032" s="111"/>
      <c r="D2032" s="102"/>
      <c r="E2032" s="130"/>
      <c r="F2032" s="102"/>
      <c r="G2032" s="122"/>
      <c r="H2032" s="85"/>
      <c r="I2032" s="85"/>
    </row>
    <row r="2033" spans="3:9" ht="15.75">
      <c r="C2033" s="111"/>
      <c r="D2033" s="102"/>
      <c r="E2033" s="130"/>
      <c r="F2033" s="102"/>
      <c r="G2033" s="122"/>
      <c r="H2033" s="85"/>
      <c r="I2033" s="85"/>
    </row>
    <row r="2034" spans="3:9" ht="15.75">
      <c r="C2034" s="111"/>
      <c r="D2034" s="102"/>
      <c r="E2034" s="130"/>
      <c r="F2034" s="102"/>
      <c r="G2034" s="122"/>
      <c r="H2034" s="85"/>
      <c r="I2034" s="85"/>
    </row>
    <row r="2035" spans="3:9" ht="15.75">
      <c r="C2035" s="111"/>
      <c r="D2035" s="102"/>
      <c r="E2035" s="130"/>
      <c r="F2035" s="102"/>
      <c r="G2035" s="122"/>
      <c r="H2035" s="85"/>
      <c r="I2035" s="85"/>
    </row>
    <row r="2036" spans="3:9" ht="15.75">
      <c r="C2036" s="111"/>
      <c r="D2036" s="102"/>
      <c r="E2036" s="130"/>
      <c r="F2036" s="102"/>
      <c r="G2036" s="122"/>
      <c r="H2036" s="85"/>
      <c r="I2036" s="85"/>
    </row>
    <row r="2037" spans="3:9" ht="15.75">
      <c r="C2037" s="111"/>
      <c r="D2037" s="102"/>
      <c r="E2037" s="130"/>
      <c r="F2037" s="102"/>
      <c r="G2037" s="122"/>
      <c r="H2037" s="85"/>
      <c r="I2037" s="85"/>
    </row>
    <row r="2038" spans="3:9" ht="15.75">
      <c r="C2038" s="111"/>
      <c r="D2038" s="102"/>
      <c r="E2038" s="130"/>
      <c r="F2038" s="102"/>
      <c r="G2038" s="122"/>
      <c r="H2038" s="85"/>
      <c r="I2038" s="85"/>
    </row>
    <row r="2039" spans="3:9" ht="15.75">
      <c r="C2039" s="111"/>
      <c r="D2039" s="102"/>
      <c r="E2039" s="130"/>
      <c r="F2039" s="102"/>
      <c r="G2039" s="122"/>
      <c r="H2039" s="85"/>
      <c r="I2039" s="85"/>
    </row>
    <row r="2040" spans="3:9" ht="15.75">
      <c r="C2040" s="111"/>
      <c r="D2040" s="102"/>
      <c r="E2040" s="130"/>
      <c r="F2040" s="102"/>
      <c r="G2040" s="122"/>
      <c r="H2040" s="85"/>
      <c r="I2040" s="85"/>
    </row>
    <row r="2041" spans="3:9" ht="15.75">
      <c r="C2041" s="111"/>
      <c r="D2041" s="102"/>
      <c r="E2041" s="130"/>
      <c r="F2041" s="102"/>
      <c r="G2041" s="122"/>
      <c r="H2041" s="85"/>
      <c r="I2041" s="85"/>
    </row>
    <row r="2042" spans="3:9" ht="15.75">
      <c r="C2042" s="111"/>
      <c r="D2042" s="102"/>
      <c r="E2042" s="130"/>
      <c r="F2042" s="102"/>
      <c r="G2042" s="122"/>
      <c r="H2042" s="85"/>
      <c r="I2042" s="85"/>
    </row>
    <row r="2043" spans="3:9" ht="15.75">
      <c r="C2043" s="111"/>
      <c r="D2043" s="102"/>
      <c r="E2043" s="130"/>
      <c r="F2043" s="102"/>
      <c r="G2043" s="122"/>
      <c r="H2043" s="85"/>
      <c r="I2043" s="85"/>
    </row>
    <row r="2044" spans="3:9" ht="15.75">
      <c r="C2044" s="111"/>
      <c r="D2044" s="102"/>
      <c r="E2044" s="130"/>
      <c r="F2044" s="102"/>
      <c r="G2044" s="122"/>
      <c r="H2044" s="85"/>
      <c r="I2044" s="85"/>
    </row>
    <row r="2045" spans="3:9" ht="15.75">
      <c r="C2045" s="111"/>
      <c r="D2045" s="102"/>
      <c r="E2045" s="130"/>
      <c r="F2045" s="102"/>
      <c r="G2045" s="122"/>
      <c r="H2045" s="85"/>
      <c r="I2045" s="85"/>
    </row>
    <row r="2046" spans="3:9" ht="15.75">
      <c r="C2046" s="111"/>
      <c r="D2046" s="102"/>
      <c r="E2046" s="130"/>
      <c r="F2046" s="102"/>
      <c r="G2046" s="122"/>
      <c r="H2046" s="85"/>
      <c r="I2046" s="85"/>
    </row>
    <row r="2047" spans="3:9" ht="15.75">
      <c r="C2047" s="111"/>
      <c r="D2047" s="102"/>
      <c r="E2047" s="130"/>
      <c r="F2047" s="102"/>
      <c r="G2047" s="122"/>
      <c r="H2047" s="85"/>
      <c r="I2047" s="85"/>
    </row>
    <row r="2048" spans="3:9" ht="15.75">
      <c r="C2048" s="111"/>
      <c r="D2048" s="102"/>
      <c r="E2048" s="130"/>
      <c r="F2048" s="102"/>
      <c r="G2048" s="122"/>
      <c r="H2048" s="85"/>
      <c r="I2048" s="85"/>
    </row>
    <row r="2049" spans="3:9" ht="15.75">
      <c r="C2049" s="111"/>
      <c r="D2049" s="102"/>
      <c r="E2049" s="130"/>
      <c r="F2049" s="102"/>
      <c r="G2049" s="122"/>
      <c r="H2049" s="85"/>
      <c r="I2049" s="85"/>
    </row>
    <row r="2050" spans="3:9" ht="15.75">
      <c r="C2050" s="111"/>
      <c r="D2050" s="102"/>
      <c r="E2050" s="130"/>
      <c r="F2050" s="102"/>
      <c r="G2050" s="122"/>
      <c r="H2050" s="85"/>
      <c r="I2050" s="85"/>
    </row>
    <row r="2051" spans="3:9" ht="15.75">
      <c r="C2051" s="111"/>
      <c r="D2051" s="102"/>
      <c r="E2051" s="130"/>
      <c r="F2051" s="102"/>
      <c r="G2051" s="122"/>
      <c r="H2051" s="85"/>
      <c r="I2051" s="85"/>
    </row>
    <row r="2052" spans="3:9" ht="15.75">
      <c r="C2052" s="111"/>
      <c r="D2052" s="102"/>
      <c r="E2052" s="130"/>
      <c r="F2052" s="102"/>
      <c r="G2052" s="122"/>
      <c r="H2052" s="85"/>
      <c r="I2052" s="85"/>
    </row>
    <row r="2053" spans="3:9" ht="15.75">
      <c r="C2053" s="111"/>
      <c r="D2053" s="102"/>
      <c r="E2053" s="130"/>
      <c r="F2053" s="102"/>
      <c r="G2053" s="122"/>
      <c r="H2053" s="85"/>
      <c r="I2053" s="85"/>
    </row>
    <row r="2054" spans="3:9" ht="15.75">
      <c r="C2054" s="111"/>
      <c r="D2054" s="102"/>
      <c r="E2054" s="130"/>
      <c r="F2054" s="102"/>
      <c r="G2054" s="122"/>
      <c r="H2054" s="85"/>
      <c r="I2054" s="85"/>
    </row>
    <row r="2055" spans="3:9" ht="15.75">
      <c r="C2055" s="111"/>
      <c r="D2055" s="102"/>
      <c r="E2055" s="130"/>
      <c r="F2055" s="102"/>
      <c r="G2055" s="122"/>
      <c r="H2055" s="85"/>
      <c r="I2055" s="85"/>
    </row>
    <row r="2056" spans="3:9" ht="15.75">
      <c r="C2056" s="111"/>
      <c r="D2056" s="102"/>
      <c r="E2056" s="130"/>
      <c r="F2056" s="102"/>
      <c r="G2056" s="122"/>
      <c r="H2056" s="85"/>
      <c r="I2056" s="85"/>
    </row>
    <row r="2057" spans="3:9" ht="15.75">
      <c r="C2057" s="111"/>
      <c r="D2057" s="102"/>
      <c r="E2057" s="130"/>
      <c r="F2057" s="102"/>
      <c r="G2057" s="122"/>
      <c r="H2057" s="85"/>
      <c r="I2057" s="85"/>
    </row>
    <row r="2058" spans="3:9" ht="15.75">
      <c r="C2058" s="111"/>
      <c r="D2058" s="102"/>
      <c r="E2058" s="130"/>
      <c r="F2058" s="102"/>
      <c r="G2058" s="122"/>
      <c r="H2058" s="85"/>
      <c r="I2058" s="85"/>
    </row>
    <row r="2059" spans="3:9" ht="15.75">
      <c r="C2059" s="111"/>
      <c r="D2059" s="102"/>
      <c r="E2059" s="130"/>
      <c r="F2059" s="102"/>
      <c r="G2059" s="122"/>
      <c r="H2059" s="85"/>
      <c r="I2059" s="85"/>
    </row>
    <row r="2060" spans="3:9" ht="15.75">
      <c r="C2060" s="111"/>
      <c r="D2060" s="102"/>
      <c r="E2060" s="130"/>
      <c r="F2060" s="102"/>
      <c r="G2060" s="122"/>
      <c r="H2060" s="85"/>
      <c r="I2060" s="85"/>
    </row>
    <row r="2061" spans="3:9" ht="15.75">
      <c r="C2061" s="111"/>
      <c r="D2061" s="102"/>
      <c r="E2061" s="130"/>
      <c r="F2061" s="102"/>
      <c r="G2061" s="122"/>
      <c r="H2061" s="85"/>
      <c r="I2061" s="85"/>
    </row>
    <row r="2062" spans="3:9" ht="15.75">
      <c r="C2062" s="111"/>
      <c r="D2062" s="102"/>
      <c r="E2062" s="130"/>
      <c r="F2062" s="102"/>
      <c r="G2062" s="122"/>
      <c r="H2062" s="85"/>
      <c r="I2062" s="85"/>
    </row>
    <row r="2063" spans="3:9" ht="15.75">
      <c r="C2063" s="111"/>
      <c r="D2063" s="102"/>
      <c r="E2063" s="130"/>
      <c r="F2063" s="102"/>
      <c r="G2063" s="122"/>
      <c r="H2063" s="85"/>
      <c r="I2063" s="85"/>
    </row>
    <row r="2064" spans="3:9" ht="15.75">
      <c r="C2064" s="111"/>
      <c r="D2064" s="102"/>
      <c r="E2064" s="130"/>
      <c r="F2064" s="102"/>
      <c r="G2064" s="122"/>
      <c r="H2064" s="85"/>
      <c r="I2064" s="85"/>
    </row>
    <row r="2065" spans="3:9" ht="15.75">
      <c r="C2065" s="111"/>
      <c r="D2065" s="102"/>
      <c r="E2065" s="130"/>
      <c r="F2065" s="102"/>
      <c r="G2065" s="122"/>
      <c r="H2065" s="85"/>
      <c r="I2065" s="85"/>
    </row>
    <row r="2066" spans="3:9" ht="15.75">
      <c r="C2066" s="111"/>
      <c r="D2066" s="102"/>
      <c r="E2066" s="130"/>
      <c r="F2066" s="102"/>
      <c r="G2066" s="122"/>
      <c r="H2066" s="85"/>
      <c r="I2066" s="85"/>
    </row>
    <row r="2067" spans="3:9" ht="15.75">
      <c r="C2067" s="111"/>
      <c r="D2067" s="102"/>
      <c r="E2067" s="130"/>
      <c r="F2067" s="102"/>
      <c r="G2067" s="122"/>
      <c r="H2067" s="85"/>
      <c r="I2067" s="85"/>
    </row>
    <row r="2068" spans="3:9" ht="15.75">
      <c r="C2068" s="111"/>
      <c r="D2068" s="102"/>
      <c r="E2068" s="130"/>
      <c r="F2068" s="102"/>
      <c r="G2068" s="122"/>
      <c r="H2068" s="85"/>
      <c r="I2068" s="85"/>
    </row>
    <row r="2069" spans="3:9" ht="15.75">
      <c r="C2069" s="111"/>
      <c r="D2069" s="102"/>
      <c r="E2069" s="130"/>
      <c r="F2069" s="102"/>
      <c r="G2069" s="122"/>
      <c r="H2069" s="85"/>
      <c r="I2069" s="85"/>
    </row>
    <row r="2070" spans="3:9" ht="15.75">
      <c r="C2070" s="111"/>
      <c r="D2070" s="102"/>
      <c r="E2070" s="130"/>
      <c r="F2070" s="102"/>
      <c r="G2070" s="122"/>
      <c r="H2070" s="85"/>
      <c r="I2070" s="85"/>
    </row>
    <row r="2071" spans="3:9" ht="15.75">
      <c r="C2071" s="111"/>
      <c r="D2071" s="102"/>
      <c r="E2071" s="130"/>
      <c r="F2071" s="102"/>
      <c r="G2071" s="122"/>
      <c r="H2071" s="85"/>
      <c r="I2071" s="85"/>
    </row>
    <row r="2072" spans="3:9" ht="15.75">
      <c r="C2072" s="111"/>
      <c r="D2072" s="102"/>
      <c r="E2072" s="130"/>
      <c r="F2072" s="102"/>
      <c r="G2072" s="122"/>
      <c r="H2072" s="85"/>
      <c r="I2072" s="85"/>
    </row>
    <row r="2073" spans="3:9" ht="15.75">
      <c r="C2073" s="111"/>
      <c r="D2073" s="102"/>
      <c r="E2073" s="130"/>
      <c r="F2073" s="102"/>
      <c r="G2073" s="122"/>
      <c r="H2073" s="85"/>
      <c r="I2073" s="85"/>
    </row>
    <row r="2074" spans="3:9" ht="15.75">
      <c r="C2074" s="111"/>
      <c r="D2074" s="102"/>
      <c r="E2074" s="130"/>
      <c r="F2074" s="102"/>
      <c r="G2074" s="122"/>
      <c r="H2074" s="85"/>
      <c r="I2074" s="85"/>
    </row>
    <row r="2075" spans="3:9" ht="15.75">
      <c r="C2075" s="111"/>
      <c r="D2075" s="102"/>
      <c r="E2075" s="130"/>
      <c r="F2075" s="102"/>
      <c r="G2075" s="122"/>
      <c r="H2075" s="85"/>
      <c r="I2075" s="85"/>
    </row>
    <row r="2076" spans="3:9" ht="15.75">
      <c r="C2076" s="111"/>
      <c r="D2076" s="102"/>
      <c r="E2076" s="130"/>
      <c r="F2076" s="102"/>
      <c r="G2076" s="122"/>
      <c r="H2076" s="85"/>
      <c r="I2076" s="85"/>
    </row>
    <row r="2077" spans="3:9" ht="15.75">
      <c r="C2077" s="111"/>
      <c r="D2077" s="102"/>
      <c r="E2077" s="130"/>
      <c r="F2077" s="102"/>
      <c r="G2077" s="122"/>
      <c r="H2077" s="85"/>
      <c r="I2077" s="85"/>
    </row>
    <row r="2078" spans="3:9" ht="15.75">
      <c r="C2078" s="111"/>
      <c r="D2078" s="102"/>
      <c r="E2078" s="130"/>
      <c r="F2078" s="102"/>
      <c r="G2078" s="122"/>
      <c r="H2078" s="85"/>
      <c r="I2078" s="85"/>
    </row>
    <row r="2079" spans="3:9" ht="15.75">
      <c r="C2079" s="111"/>
      <c r="D2079" s="102"/>
      <c r="E2079" s="130"/>
      <c r="F2079" s="102"/>
      <c r="G2079" s="122"/>
      <c r="H2079" s="85"/>
      <c r="I2079" s="85"/>
    </row>
    <row r="2080" spans="3:9" ht="15.75">
      <c r="C2080" s="111"/>
      <c r="D2080" s="102"/>
      <c r="E2080" s="130"/>
      <c r="F2080" s="102"/>
      <c r="G2080" s="122"/>
      <c r="H2080" s="85"/>
      <c r="I2080" s="85"/>
    </row>
    <row r="2081" spans="3:9" ht="15.75">
      <c r="C2081" s="111"/>
      <c r="D2081" s="102"/>
      <c r="E2081" s="130"/>
      <c r="F2081" s="102"/>
      <c r="G2081" s="122"/>
      <c r="H2081" s="85"/>
      <c r="I2081" s="85"/>
    </row>
    <row r="2082" spans="3:9" ht="15.75">
      <c r="C2082" s="111"/>
      <c r="D2082" s="102"/>
      <c r="E2082" s="130"/>
      <c r="F2082" s="102"/>
      <c r="G2082" s="122"/>
      <c r="H2082" s="85"/>
      <c r="I2082" s="85"/>
    </row>
    <row r="2083" spans="3:9" ht="15.75">
      <c r="C2083" s="111"/>
      <c r="D2083" s="102"/>
      <c r="E2083" s="130"/>
      <c r="F2083" s="102"/>
      <c r="G2083" s="122"/>
      <c r="H2083" s="85"/>
      <c r="I2083" s="85"/>
    </row>
    <row r="2084" spans="3:9" ht="15.75">
      <c r="C2084" s="111"/>
      <c r="D2084" s="102"/>
      <c r="E2084" s="130"/>
      <c r="F2084" s="102"/>
      <c r="G2084" s="122"/>
      <c r="H2084" s="85"/>
      <c r="I2084" s="85"/>
    </row>
    <row r="2085" spans="3:9" ht="15.75">
      <c r="C2085" s="111"/>
      <c r="D2085" s="102"/>
      <c r="E2085" s="130"/>
      <c r="F2085" s="102"/>
      <c r="G2085" s="122"/>
      <c r="H2085" s="85"/>
      <c r="I2085" s="85"/>
    </row>
    <row r="2086" spans="3:9" ht="15.75">
      <c r="C2086" s="111"/>
      <c r="D2086" s="102"/>
      <c r="E2086" s="130"/>
      <c r="F2086" s="102"/>
      <c r="G2086" s="122"/>
      <c r="H2086" s="85"/>
      <c r="I2086" s="85"/>
    </row>
    <row r="2087" spans="3:9" ht="15.75">
      <c r="C2087" s="111"/>
      <c r="D2087" s="102"/>
      <c r="E2087" s="130"/>
      <c r="F2087" s="102"/>
      <c r="G2087" s="122"/>
      <c r="H2087" s="85"/>
      <c r="I2087" s="85"/>
    </row>
    <row r="2088" spans="3:9" ht="15.75">
      <c r="C2088" s="111"/>
      <c r="D2088" s="102"/>
      <c r="E2088" s="130"/>
      <c r="F2088" s="102"/>
      <c r="G2088" s="122"/>
      <c r="H2088" s="85"/>
      <c r="I2088" s="85"/>
    </row>
    <row r="2089" spans="3:9" ht="15.75">
      <c r="C2089" s="111"/>
      <c r="D2089" s="102"/>
      <c r="E2089" s="130"/>
      <c r="F2089" s="102"/>
      <c r="G2089" s="122"/>
      <c r="H2089" s="85"/>
      <c r="I2089" s="85"/>
    </row>
    <row r="2090" spans="3:9" ht="15.75">
      <c r="C2090" s="111"/>
      <c r="D2090" s="102"/>
      <c r="E2090" s="130"/>
      <c r="F2090" s="102"/>
      <c r="G2090" s="122"/>
      <c r="H2090" s="85"/>
      <c r="I2090" s="85"/>
    </row>
    <row r="2091" spans="3:9" ht="15.75">
      <c r="C2091" s="111"/>
      <c r="D2091" s="102"/>
      <c r="E2091" s="130"/>
      <c r="F2091" s="102"/>
      <c r="G2091" s="122"/>
      <c r="H2091" s="85"/>
      <c r="I2091" s="85"/>
    </row>
    <row r="2092" spans="3:9" ht="15.75">
      <c r="C2092" s="111"/>
      <c r="D2092" s="102"/>
      <c r="E2092" s="130"/>
      <c r="F2092" s="102"/>
      <c r="G2092" s="122"/>
      <c r="H2092" s="85"/>
      <c r="I2092" s="85"/>
    </row>
    <row r="2093" spans="3:9" ht="15.75">
      <c r="C2093" s="111"/>
      <c r="D2093" s="102"/>
      <c r="E2093" s="130"/>
      <c r="F2093" s="102"/>
      <c r="G2093" s="122"/>
      <c r="H2093" s="85"/>
      <c r="I2093" s="85"/>
    </row>
    <row r="2094" spans="3:9" ht="15.75">
      <c r="C2094" s="111"/>
      <c r="D2094" s="102"/>
      <c r="E2094" s="130"/>
      <c r="F2094" s="102"/>
      <c r="G2094" s="122"/>
      <c r="H2094" s="85"/>
      <c r="I2094" s="85"/>
    </row>
    <row r="2095" spans="3:9" ht="15.75">
      <c r="C2095" s="111"/>
      <c r="D2095" s="102"/>
      <c r="E2095" s="130"/>
      <c r="F2095" s="102"/>
      <c r="G2095" s="122"/>
      <c r="H2095" s="85"/>
      <c r="I2095" s="85"/>
    </row>
    <row r="2096" spans="3:9" ht="15.75">
      <c r="C2096" s="111"/>
      <c r="D2096" s="102"/>
      <c r="E2096" s="130"/>
      <c r="F2096" s="102"/>
      <c r="G2096" s="122"/>
      <c r="H2096" s="85"/>
      <c r="I2096" s="85"/>
    </row>
    <row r="2097" spans="3:9" ht="15.75">
      <c r="C2097" s="111"/>
      <c r="D2097" s="102"/>
      <c r="E2097" s="130"/>
      <c r="F2097" s="102"/>
      <c r="G2097" s="122"/>
      <c r="H2097" s="85"/>
      <c r="I2097" s="85"/>
    </row>
    <row r="2098" spans="3:9" ht="15.75">
      <c r="C2098" s="111"/>
      <c r="D2098" s="102"/>
      <c r="E2098" s="130"/>
      <c r="F2098" s="102"/>
      <c r="G2098" s="122"/>
      <c r="H2098" s="85"/>
      <c r="I2098" s="85"/>
    </row>
    <row r="2099" spans="3:9" ht="15.75">
      <c r="C2099" s="111"/>
      <c r="D2099" s="102"/>
      <c r="E2099" s="130"/>
      <c r="F2099" s="102"/>
      <c r="G2099" s="122"/>
      <c r="H2099" s="85"/>
      <c r="I2099" s="85"/>
    </row>
    <row r="2100" spans="3:9" ht="15.75">
      <c r="C2100" s="111"/>
      <c r="D2100" s="102"/>
      <c r="E2100" s="130"/>
      <c r="F2100" s="102"/>
      <c r="G2100" s="122"/>
      <c r="H2100" s="85"/>
      <c r="I2100" s="85"/>
    </row>
    <row r="2101" spans="3:9" ht="15.75">
      <c r="C2101" s="111"/>
      <c r="D2101" s="102"/>
      <c r="E2101" s="130"/>
      <c r="F2101" s="102"/>
      <c r="G2101" s="122"/>
      <c r="H2101" s="85"/>
      <c r="I2101" s="85"/>
    </row>
    <row r="2102" spans="3:9" ht="15.75">
      <c r="C2102" s="111"/>
      <c r="D2102" s="102"/>
      <c r="E2102" s="130"/>
      <c r="F2102" s="102"/>
      <c r="G2102" s="122"/>
      <c r="H2102" s="85"/>
      <c r="I2102" s="85"/>
    </row>
    <row r="2103" spans="3:9" ht="15.75">
      <c r="C2103" s="111"/>
      <c r="D2103" s="102"/>
      <c r="E2103" s="130"/>
      <c r="F2103" s="102"/>
      <c r="G2103" s="122"/>
      <c r="H2103" s="85"/>
      <c r="I2103" s="85"/>
    </row>
    <row r="2104" spans="3:9" ht="15.75">
      <c r="C2104" s="111"/>
      <c r="D2104" s="102"/>
      <c r="E2104" s="130"/>
      <c r="F2104" s="102"/>
      <c r="G2104" s="122"/>
      <c r="H2104" s="85"/>
      <c r="I2104" s="85"/>
    </row>
    <row r="2105" spans="3:9" ht="15.75">
      <c r="C2105" s="111"/>
      <c r="D2105" s="102"/>
      <c r="E2105" s="130"/>
      <c r="F2105" s="102"/>
      <c r="G2105" s="122"/>
      <c r="H2105" s="85"/>
      <c r="I2105" s="85"/>
    </row>
    <row r="2106" spans="3:9" ht="15.75">
      <c r="C2106" s="111"/>
      <c r="D2106" s="102"/>
      <c r="E2106" s="130"/>
      <c r="F2106" s="102"/>
      <c r="G2106" s="122"/>
      <c r="H2106" s="85"/>
      <c r="I2106" s="85"/>
    </row>
    <row r="2107" spans="3:9" ht="15.75">
      <c r="C2107" s="111"/>
      <c r="D2107" s="102"/>
      <c r="E2107" s="130"/>
      <c r="F2107" s="102"/>
      <c r="G2107" s="122"/>
      <c r="H2107" s="85"/>
      <c r="I2107" s="85"/>
    </row>
    <row r="2108" spans="3:9" ht="15.75">
      <c r="C2108" s="111"/>
      <c r="D2108" s="102"/>
      <c r="E2108" s="130"/>
      <c r="F2108" s="102"/>
      <c r="G2108" s="122"/>
      <c r="H2108" s="85"/>
      <c r="I2108" s="85"/>
    </row>
    <row r="2109" spans="3:9" ht="15.75">
      <c r="C2109" s="111"/>
      <c r="D2109" s="102"/>
      <c r="E2109" s="130"/>
      <c r="F2109" s="102"/>
      <c r="G2109" s="122"/>
      <c r="H2109" s="85"/>
      <c r="I2109" s="85"/>
    </row>
    <row r="2110" spans="3:9" ht="15.75">
      <c r="C2110" s="111"/>
      <c r="D2110" s="102"/>
      <c r="E2110" s="130"/>
      <c r="F2110" s="102"/>
      <c r="G2110" s="122"/>
      <c r="H2110" s="85"/>
      <c r="I2110" s="85"/>
    </row>
    <row r="2111" spans="3:9" ht="15.75">
      <c r="C2111" s="111"/>
      <c r="D2111" s="102"/>
      <c r="E2111" s="130"/>
      <c r="F2111" s="102"/>
      <c r="G2111" s="122"/>
      <c r="H2111" s="85"/>
      <c r="I2111" s="85"/>
    </row>
    <row r="2112" spans="3:9" ht="15.75">
      <c r="C2112" s="111"/>
      <c r="D2112" s="102"/>
      <c r="E2112" s="130"/>
      <c r="F2112" s="102"/>
      <c r="G2112" s="122"/>
      <c r="H2112" s="85"/>
      <c r="I2112" s="85"/>
    </row>
    <row r="2113" spans="3:9" ht="15.75">
      <c r="C2113" s="111"/>
      <c r="D2113" s="102"/>
      <c r="E2113" s="130"/>
      <c r="F2113" s="102"/>
      <c r="G2113" s="122"/>
      <c r="H2113" s="85"/>
      <c r="I2113" s="85"/>
    </row>
    <row r="2114" spans="3:9" ht="15.75">
      <c r="C2114" s="111"/>
      <c r="D2114" s="102"/>
      <c r="E2114" s="130"/>
      <c r="F2114" s="102"/>
      <c r="G2114" s="122"/>
      <c r="H2114" s="85"/>
      <c r="I2114" s="85"/>
    </row>
    <row r="2115" spans="3:9" ht="15.75">
      <c r="C2115" s="111"/>
      <c r="D2115" s="102"/>
      <c r="E2115" s="130"/>
      <c r="F2115" s="102"/>
      <c r="G2115" s="122"/>
      <c r="H2115" s="85"/>
      <c r="I2115" s="85"/>
    </row>
    <row r="2116" spans="3:9" ht="15.75">
      <c r="C2116" s="111"/>
      <c r="D2116" s="102"/>
      <c r="E2116" s="130"/>
      <c r="F2116" s="102"/>
      <c r="G2116" s="122"/>
      <c r="H2116" s="85"/>
      <c r="I2116" s="85"/>
    </row>
    <row r="2117" spans="3:9" ht="15.75">
      <c r="C2117" s="111"/>
      <c r="D2117" s="102"/>
      <c r="E2117" s="130"/>
      <c r="F2117" s="102"/>
      <c r="G2117" s="122"/>
      <c r="H2117" s="85"/>
      <c r="I2117" s="85"/>
    </row>
    <row r="2118" spans="3:9" ht="15.75">
      <c r="C2118" s="111"/>
      <c r="D2118" s="102"/>
      <c r="E2118" s="130"/>
      <c r="F2118" s="102"/>
      <c r="G2118" s="122"/>
      <c r="H2118" s="85"/>
      <c r="I2118" s="85"/>
    </row>
    <row r="2119" spans="3:9" ht="15.75">
      <c r="C2119" s="111"/>
      <c r="D2119" s="102"/>
      <c r="E2119" s="130"/>
      <c r="F2119" s="102"/>
      <c r="G2119" s="122"/>
      <c r="H2119" s="85"/>
      <c r="I2119" s="85"/>
    </row>
    <row r="2120" spans="3:9" ht="15.75">
      <c r="C2120" s="111"/>
      <c r="D2120" s="102"/>
      <c r="E2120" s="130"/>
      <c r="F2120" s="102"/>
      <c r="G2120" s="122"/>
      <c r="H2120" s="85"/>
      <c r="I2120" s="85"/>
    </row>
    <row r="2121" spans="3:9" ht="15.75">
      <c r="C2121" s="111"/>
      <c r="D2121" s="102"/>
      <c r="E2121" s="130"/>
      <c r="F2121" s="102"/>
      <c r="G2121" s="122"/>
      <c r="H2121" s="85"/>
      <c r="I2121" s="85"/>
    </row>
    <row r="2122" spans="3:9" ht="15.75">
      <c r="C2122" s="111"/>
      <c r="D2122" s="102"/>
      <c r="E2122" s="130"/>
      <c r="F2122" s="102"/>
      <c r="G2122" s="122"/>
      <c r="H2122" s="85"/>
      <c r="I2122" s="85"/>
    </row>
    <row r="2123" spans="3:9" ht="15.75">
      <c r="C2123" s="111"/>
      <c r="D2123" s="102"/>
      <c r="E2123" s="130"/>
      <c r="F2123" s="102"/>
      <c r="G2123" s="122"/>
      <c r="H2123" s="85"/>
      <c r="I2123" s="85"/>
    </row>
    <row r="2124" spans="3:9" ht="15.75">
      <c r="C2124" s="111"/>
      <c r="D2124" s="102"/>
      <c r="E2124" s="130"/>
      <c r="F2124" s="102"/>
      <c r="G2124" s="122"/>
      <c r="H2124" s="85"/>
      <c r="I2124" s="85"/>
    </row>
    <row r="2125" spans="3:9" ht="15.75">
      <c r="C2125" s="111"/>
      <c r="D2125" s="102"/>
      <c r="E2125" s="130"/>
      <c r="F2125" s="102"/>
      <c r="G2125" s="122"/>
      <c r="H2125" s="85"/>
      <c r="I2125" s="85"/>
    </row>
    <row r="2126" spans="3:9" ht="15.75">
      <c r="C2126" s="111"/>
      <c r="D2126" s="102"/>
      <c r="E2126" s="130"/>
      <c r="F2126" s="102"/>
      <c r="G2126" s="122"/>
      <c r="H2126" s="85"/>
      <c r="I2126" s="85"/>
    </row>
    <row r="2127" spans="3:9" ht="15.75">
      <c r="C2127" s="111"/>
      <c r="D2127" s="102"/>
      <c r="E2127" s="130"/>
      <c r="F2127" s="102"/>
      <c r="G2127" s="122"/>
      <c r="H2127" s="85"/>
      <c r="I2127" s="85"/>
    </row>
    <row r="2128" spans="3:9" ht="15.75">
      <c r="C2128" s="111"/>
      <c r="D2128" s="102"/>
      <c r="E2128" s="130"/>
      <c r="F2128" s="102"/>
      <c r="G2128" s="122"/>
      <c r="H2128" s="85"/>
      <c r="I2128" s="85"/>
    </row>
    <row r="2129" spans="3:9" ht="15.75">
      <c r="C2129" s="111"/>
      <c r="D2129" s="102"/>
      <c r="E2129" s="130"/>
      <c r="F2129" s="102"/>
      <c r="G2129" s="122"/>
      <c r="H2129" s="85"/>
      <c r="I2129" s="85"/>
    </row>
    <row r="2130" spans="3:9" ht="15.75">
      <c r="C2130" s="111"/>
      <c r="D2130" s="102"/>
      <c r="E2130" s="130"/>
      <c r="F2130" s="102"/>
      <c r="G2130" s="122"/>
      <c r="H2130" s="85"/>
      <c r="I2130" s="85"/>
    </row>
    <row r="2131" spans="3:9" ht="15.75">
      <c r="C2131" s="111"/>
      <c r="D2131" s="102"/>
      <c r="E2131" s="130"/>
      <c r="F2131" s="102"/>
      <c r="G2131" s="122"/>
      <c r="H2131" s="85"/>
      <c r="I2131" s="85"/>
    </row>
    <row r="2132" spans="3:9" ht="15.75">
      <c r="C2132" s="111"/>
      <c r="D2132" s="102"/>
      <c r="E2132" s="130"/>
      <c r="F2132" s="102"/>
      <c r="G2132" s="122"/>
      <c r="H2132" s="85"/>
      <c r="I2132" s="85"/>
    </row>
    <row r="2133" spans="3:9" ht="15.75">
      <c r="C2133" s="111"/>
      <c r="D2133" s="102"/>
      <c r="E2133" s="130"/>
      <c r="F2133" s="102"/>
      <c r="G2133" s="122"/>
      <c r="H2133" s="85"/>
      <c r="I2133" s="85"/>
    </row>
    <row r="2134" spans="3:9" ht="15.75">
      <c r="C2134" s="111"/>
      <c r="D2134" s="102"/>
      <c r="E2134" s="130"/>
      <c r="F2134" s="102"/>
      <c r="G2134" s="122"/>
      <c r="H2134" s="85"/>
      <c r="I2134" s="85"/>
    </row>
    <row r="2135" spans="3:9" ht="15.75">
      <c r="C2135" s="111"/>
      <c r="D2135" s="102"/>
      <c r="E2135" s="130"/>
      <c r="F2135" s="102"/>
      <c r="G2135" s="122"/>
      <c r="H2135" s="85"/>
      <c r="I2135" s="85"/>
    </row>
    <row r="2136" spans="3:9" ht="15.75">
      <c r="C2136" s="111"/>
      <c r="D2136" s="102"/>
      <c r="E2136" s="130"/>
      <c r="F2136" s="102"/>
      <c r="G2136" s="122"/>
      <c r="H2136" s="85"/>
      <c r="I2136" s="85"/>
    </row>
    <row r="2137" spans="3:9" ht="15.75">
      <c r="C2137" s="111"/>
      <c r="D2137" s="102"/>
      <c r="E2137" s="130"/>
      <c r="F2137" s="102"/>
      <c r="G2137" s="122"/>
      <c r="H2137" s="85"/>
      <c r="I2137" s="85"/>
    </row>
    <row r="2138" spans="3:9" ht="15.75">
      <c r="C2138" s="111"/>
      <c r="D2138" s="102"/>
      <c r="E2138" s="130"/>
      <c r="F2138" s="102"/>
      <c r="G2138" s="122"/>
      <c r="H2138" s="85"/>
      <c r="I2138" s="85"/>
    </row>
    <row r="2139" spans="3:9" ht="15.75">
      <c r="C2139" s="111"/>
      <c r="D2139" s="102"/>
      <c r="E2139" s="130"/>
      <c r="F2139" s="102"/>
      <c r="G2139" s="122"/>
      <c r="H2139" s="85"/>
      <c r="I2139" s="85"/>
    </row>
    <row r="2140" spans="3:9" ht="15.75">
      <c r="C2140" s="111"/>
      <c r="D2140" s="102"/>
      <c r="E2140" s="130"/>
      <c r="F2140" s="102"/>
      <c r="G2140" s="122"/>
      <c r="H2140" s="85"/>
      <c r="I2140" s="85"/>
    </row>
    <row r="2141" spans="3:9" ht="15.75">
      <c r="C2141" s="111"/>
      <c r="D2141" s="102"/>
      <c r="E2141" s="130"/>
      <c r="F2141" s="102"/>
      <c r="G2141" s="122"/>
      <c r="H2141" s="85"/>
      <c r="I2141" s="85"/>
    </row>
    <row r="2142" spans="3:9" ht="15.75">
      <c r="C2142" s="111"/>
      <c r="D2142" s="102"/>
      <c r="E2142" s="130"/>
      <c r="F2142" s="102"/>
      <c r="G2142" s="122"/>
      <c r="H2142" s="85"/>
      <c r="I2142" s="85"/>
    </row>
    <row r="2143" spans="3:9" ht="15.75">
      <c r="C2143" s="111"/>
      <c r="D2143" s="102"/>
      <c r="E2143" s="130"/>
      <c r="F2143" s="102"/>
      <c r="G2143" s="122"/>
      <c r="H2143" s="85"/>
      <c r="I2143" s="85"/>
    </row>
    <row r="2144" spans="3:9" ht="15.75">
      <c r="C2144" s="111"/>
      <c r="D2144" s="102"/>
      <c r="E2144" s="130"/>
      <c r="F2144" s="102"/>
      <c r="G2144" s="122"/>
      <c r="H2144" s="85"/>
      <c r="I2144" s="85"/>
    </row>
    <row r="2145" spans="3:9" ht="15.75">
      <c r="C2145" s="111"/>
      <c r="D2145" s="102"/>
      <c r="E2145" s="130"/>
      <c r="F2145" s="102"/>
      <c r="G2145" s="122"/>
      <c r="H2145" s="85"/>
      <c r="I2145" s="85"/>
    </row>
    <row r="2146" spans="3:9" ht="15.75">
      <c r="C2146" s="111"/>
      <c r="D2146" s="102"/>
      <c r="E2146" s="130"/>
      <c r="F2146" s="102"/>
      <c r="G2146" s="122"/>
      <c r="H2146" s="85"/>
      <c r="I2146" s="85"/>
    </row>
    <row r="2147" spans="3:9" ht="15.75">
      <c r="C2147" s="111"/>
      <c r="D2147" s="102"/>
      <c r="E2147" s="130"/>
      <c r="F2147" s="102"/>
      <c r="G2147" s="122"/>
      <c r="H2147" s="85"/>
      <c r="I2147" s="85"/>
    </row>
    <row r="2148" spans="3:9" ht="15.75">
      <c r="C2148" s="111"/>
      <c r="D2148" s="102"/>
      <c r="E2148" s="130"/>
      <c r="F2148" s="102"/>
      <c r="G2148" s="122"/>
      <c r="H2148" s="85"/>
      <c r="I2148" s="85"/>
    </row>
    <row r="2149" spans="3:9" ht="15.75">
      <c r="C2149" s="111"/>
      <c r="D2149" s="102"/>
      <c r="E2149" s="130"/>
      <c r="F2149" s="102"/>
      <c r="G2149" s="122"/>
      <c r="H2149" s="85"/>
      <c r="I2149" s="85"/>
    </row>
    <row r="2150" spans="3:9" ht="15.75">
      <c r="C2150" s="111"/>
      <c r="D2150" s="102"/>
      <c r="E2150" s="130"/>
      <c r="F2150" s="102"/>
      <c r="G2150" s="122"/>
      <c r="H2150" s="85"/>
      <c r="I2150" s="85"/>
    </row>
    <row r="2151" spans="3:9" ht="15.75">
      <c r="C2151" s="111"/>
      <c r="D2151" s="102"/>
      <c r="E2151" s="130"/>
      <c r="F2151" s="102"/>
      <c r="G2151" s="122"/>
      <c r="H2151" s="85"/>
      <c r="I2151" s="85"/>
    </row>
    <row r="2152" spans="3:9" ht="15.75">
      <c r="C2152" s="111"/>
      <c r="D2152" s="102"/>
      <c r="E2152" s="130"/>
      <c r="F2152" s="102"/>
      <c r="G2152" s="122"/>
      <c r="H2152" s="85"/>
      <c r="I2152" s="85"/>
    </row>
    <row r="2153" spans="3:9" ht="15.75">
      <c r="C2153" s="111"/>
      <c r="D2153" s="102"/>
      <c r="E2153" s="130"/>
      <c r="F2153" s="102"/>
      <c r="G2153" s="122"/>
      <c r="H2153" s="85"/>
      <c r="I2153" s="85"/>
    </row>
    <row r="2154" spans="3:9" ht="15.75">
      <c r="C2154" s="111"/>
      <c r="D2154" s="102"/>
      <c r="E2154" s="130"/>
      <c r="F2154" s="102"/>
      <c r="G2154" s="122"/>
      <c r="H2154" s="85"/>
      <c r="I2154" s="85"/>
    </row>
    <row r="2155" spans="3:9" ht="15.75">
      <c r="C2155" s="111"/>
      <c r="D2155" s="102"/>
      <c r="E2155" s="130"/>
      <c r="F2155" s="102"/>
      <c r="G2155" s="122"/>
      <c r="H2155" s="85"/>
      <c r="I2155" s="85"/>
    </row>
    <row r="2156" spans="3:9" ht="15.75">
      <c r="C2156" s="111"/>
      <c r="D2156" s="102"/>
      <c r="E2156" s="130"/>
      <c r="F2156" s="102"/>
      <c r="G2156" s="122"/>
      <c r="H2156" s="85"/>
      <c r="I2156" s="85"/>
    </row>
    <row r="2157" spans="3:9" ht="15.75">
      <c r="C2157" s="111"/>
      <c r="D2157" s="102"/>
      <c r="E2157" s="130"/>
      <c r="F2157" s="102"/>
      <c r="G2157" s="122"/>
      <c r="H2157" s="85"/>
      <c r="I2157" s="85"/>
    </row>
    <row r="2158" spans="3:9" ht="15.75">
      <c r="C2158" s="111"/>
      <c r="D2158" s="102"/>
      <c r="E2158" s="130"/>
      <c r="F2158" s="102"/>
      <c r="G2158" s="122"/>
      <c r="H2158" s="85"/>
      <c r="I2158" s="85"/>
    </row>
    <row r="2159" spans="3:9" ht="15.75">
      <c r="C2159" s="111"/>
      <c r="D2159" s="102"/>
      <c r="E2159" s="130"/>
      <c r="F2159" s="102"/>
      <c r="G2159" s="122"/>
      <c r="H2159" s="85"/>
      <c r="I2159" s="85"/>
    </row>
    <row r="2160" spans="3:9" ht="15.75">
      <c r="C2160" s="111"/>
      <c r="D2160" s="102"/>
      <c r="E2160" s="130"/>
      <c r="F2160" s="102"/>
      <c r="G2160" s="122"/>
      <c r="H2160" s="85"/>
      <c r="I2160" s="85"/>
    </row>
    <row r="2161" spans="3:9" ht="15.75">
      <c r="C2161" s="111"/>
      <c r="D2161" s="102"/>
      <c r="E2161" s="130"/>
      <c r="F2161" s="102"/>
      <c r="G2161" s="122"/>
      <c r="H2161" s="85"/>
      <c r="I2161" s="85"/>
    </row>
    <row r="2162" spans="3:9" ht="15.75">
      <c r="C2162" s="111"/>
      <c r="D2162" s="102"/>
      <c r="E2162" s="130"/>
      <c r="F2162" s="102"/>
      <c r="G2162" s="122"/>
      <c r="H2162" s="85"/>
      <c r="I2162" s="85"/>
    </row>
    <row r="2163" spans="3:9" ht="15.75">
      <c r="C2163" s="111"/>
      <c r="D2163" s="102"/>
      <c r="E2163" s="130"/>
      <c r="F2163" s="102"/>
      <c r="G2163" s="122"/>
      <c r="H2163" s="85"/>
      <c r="I2163" s="85"/>
    </row>
    <row r="2164" spans="3:9" ht="15.75">
      <c r="C2164" s="111"/>
      <c r="D2164" s="102"/>
      <c r="E2164" s="130"/>
      <c r="F2164" s="102"/>
      <c r="G2164" s="122"/>
      <c r="H2164" s="85"/>
      <c r="I2164" s="85"/>
    </row>
    <row r="2165" spans="3:9" ht="15.75">
      <c r="C2165" s="111"/>
      <c r="D2165" s="102"/>
      <c r="E2165" s="130"/>
      <c r="F2165" s="102"/>
      <c r="G2165" s="122"/>
      <c r="H2165" s="85"/>
      <c r="I2165" s="85"/>
    </row>
    <row r="2166" spans="3:9" ht="15.75">
      <c r="C2166" s="111"/>
      <c r="D2166" s="102"/>
      <c r="E2166" s="130"/>
      <c r="F2166" s="102"/>
      <c r="G2166" s="122"/>
      <c r="H2166" s="85"/>
      <c r="I2166" s="85"/>
    </row>
    <row r="2167" spans="3:9" ht="15.75">
      <c r="C2167" s="111"/>
      <c r="D2167" s="102"/>
      <c r="E2167" s="130"/>
      <c r="F2167" s="102"/>
      <c r="G2167" s="122"/>
      <c r="H2167" s="85"/>
      <c r="I2167" s="85"/>
    </row>
    <row r="2168" spans="3:9" ht="15.75">
      <c r="C2168" s="111"/>
      <c r="D2168" s="102"/>
      <c r="E2168" s="130"/>
      <c r="F2168" s="102"/>
      <c r="G2168" s="122"/>
      <c r="H2168" s="85"/>
      <c r="I2168" s="85"/>
    </row>
    <row r="2169" spans="3:9" ht="15.75">
      <c r="C2169" s="111"/>
      <c r="D2169" s="102"/>
      <c r="E2169" s="130"/>
      <c r="F2169" s="102"/>
      <c r="G2169" s="122"/>
      <c r="H2169" s="85"/>
      <c r="I2169" s="85"/>
    </row>
    <row r="2170" spans="3:9" ht="15.75">
      <c r="C2170" s="111"/>
      <c r="D2170" s="102"/>
      <c r="E2170" s="130"/>
      <c r="F2170" s="102"/>
      <c r="G2170" s="122"/>
      <c r="H2170" s="85"/>
      <c r="I2170" s="85"/>
    </row>
    <row r="2171" spans="3:9" ht="15.75">
      <c r="C2171" s="111"/>
      <c r="D2171" s="102"/>
      <c r="E2171" s="130"/>
      <c r="F2171" s="102"/>
      <c r="G2171" s="122"/>
      <c r="H2171" s="85"/>
      <c r="I2171" s="85"/>
    </row>
    <row r="2172" spans="3:9" ht="15.75">
      <c r="C2172" s="111"/>
      <c r="D2172" s="102"/>
      <c r="E2172" s="130"/>
      <c r="F2172" s="102"/>
      <c r="G2172" s="122"/>
      <c r="H2172" s="85"/>
      <c r="I2172" s="85"/>
    </row>
    <row r="2173" spans="3:9" ht="15.75">
      <c r="C2173" s="111"/>
      <c r="D2173" s="102"/>
      <c r="E2173" s="130"/>
      <c r="F2173" s="102"/>
      <c r="G2173" s="122"/>
      <c r="H2173" s="85"/>
      <c r="I2173" s="85"/>
    </row>
    <row r="2174" spans="3:9" ht="15.75">
      <c r="C2174" s="111"/>
      <c r="D2174" s="102"/>
      <c r="E2174" s="130"/>
      <c r="F2174" s="102"/>
      <c r="G2174" s="122"/>
      <c r="H2174" s="85"/>
      <c r="I2174" s="85"/>
    </row>
    <row r="2175" spans="3:9" ht="15.75">
      <c r="C2175" s="111"/>
      <c r="D2175" s="102"/>
      <c r="E2175" s="130"/>
      <c r="F2175" s="102"/>
      <c r="G2175" s="122"/>
      <c r="H2175" s="85"/>
      <c r="I2175" s="85"/>
    </row>
    <row r="2176" spans="3:9" ht="15.75">
      <c r="C2176" s="111"/>
      <c r="D2176" s="102"/>
      <c r="E2176" s="130"/>
      <c r="F2176" s="102"/>
      <c r="G2176" s="122"/>
      <c r="H2176" s="85"/>
      <c r="I2176" s="85"/>
    </row>
    <row r="2177" spans="3:9" ht="15.75">
      <c r="C2177" s="111"/>
      <c r="D2177" s="102"/>
      <c r="E2177" s="130"/>
      <c r="F2177" s="102"/>
      <c r="G2177" s="122"/>
      <c r="H2177" s="85"/>
      <c r="I2177" s="85"/>
    </row>
    <row r="2178" spans="3:9" ht="15.75">
      <c r="C2178" s="111"/>
      <c r="D2178" s="102"/>
      <c r="E2178" s="130"/>
      <c r="F2178" s="102"/>
      <c r="G2178" s="122"/>
      <c r="H2178" s="85"/>
      <c r="I2178" s="85"/>
    </row>
    <row r="2179" spans="3:9" ht="15.75">
      <c r="C2179" s="111"/>
      <c r="D2179" s="102"/>
      <c r="E2179" s="130"/>
      <c r="F2179" s="102"/>
      <c r="G2179" s="122"/>
      <c r="H2179" s="85"/>
      <c r="I2179" s="85"/>
    </row>
    <row r="2180" spans="3:9" ht="15.75">
      <c r="C2180" s="111"/>
      <c r="D2180" s="102"/>
      <c r="E2180" s="130"/>
      <c r="F2180" s="102"/>
      <c r="G2180" s="122"/>
      <c r="H2180" s="85"/>
      <c r="I2180" s="85"/>
    </row>
    <row r="2181" spans="3:9" ht="15.75">
      <c r="C2181" s="111"/>
      <c r="D2181" s="102"/>
      <c r="E2181" s="130"/>
      <c r="F2181" s="102"/>
      <c r="G2181" s="122"/>
      <c r="H2181" s="85"/>
      <c r="I2181" s="85"/>
    </row>
    <row r="2182" spans="3:9" ht="15.75">
      <c r="C2182" s="111"/>
      <c r="D2182" s="102"/>
      <c r="E2182" s="130"/>
      <c r="F2182" s="102"/>
      <c r="G2182" s="122"/>
      <c r="H2182" s="85"/>
      <c r="I2182" s="85"/>
    </row>
    <row r="2183" spans="3:9" ht="15.75">
      <c r="C2183" s="111"/>
      <c r="D2183" s="102"/>
      <c r="E2183" s="130"/>
      <c r="F2183" s="102"/>
      <c r="G2183" s="122"/>
      <c r="H2183" s="85"/>
      <c r="I2183" s="85"/>
    </row>
    <row r="2184" spans="3:9" ht="15.75">
      <c r="C2184" s="111"/>
      <c r="D2184" s="102"/>
      <c r="E2184" s="130"/>
      <c r="F2184" s="102"/>
      <c r="G2184" s="122"/>
      <c r="H2184" s="85"/>
      <c r="I2184" s="85"/>
    </row>
    <row r="2185" spans="3:9" ht="15.75">
      <c r="C2185" s="111"/>
      <c r="D2185" s="102"/>
      <c r="E2185" s="130"/>
      <c r="F2185" s="102"/>
      <c r="G2185" s="122"/>
      <c r="H2185" s="85"/>
      <c r="I2185" s="85"/>
    </row>
    <row r="2186" spans="3:9" ht="15.75">
      <c r="C2186" s="111"/>
      <c r="D2186" s="102"/>
      <c r="E2186" s="130"/>
      <c r="F2186" s="102"/>
      <c r="G2186" s="122"/>
      <c r="H2186" s="85"/>
      <c r="I2186" s="85"/>
    </row>
    <row r="2187" spans="3:9" ht="15.75">
      <c r="C2187" s="111"/>
      <c r="D2187" s="102"/>
      <c r="E2187" s="130"/>
      <c r="F2187" s="102"/>
      <c r="G2187" s="122"/>
      <c r="H2187" s="85"/>
      <c r="I2187" s="85"/>
    </row>
    <row r="2188" spans="3:9" ht="15.75">
      <c r="C2188" s="111"/>
      <c r="D2188" s="102"/>
      <c r="E2188" s="130"/>
      <c r="F2188" s="102"/>
      <c r="G2188" s="122"/>
      <c r="H2188" s="85"/>
      <c r="I2188" s="85"/>
    </row>
    <row r="2189" spans="3:9" ht="15.75">
      <c r="C2189" s="111"/>
      <c r="D2189" s="102"/>
      <c r="E2189" s="130"/>
      <c r="F2189" s="102"/>
      <c r="G2189" s="122"/>
      <c r="H2189" s="85"/>
      <c r="I2189" s="85"/>
    </row>
    <row r="2190" spans="3:9" ht="15.75">
      <c r="C2190" s="111"/>
      <c r="D2190" s="102"/>
      <c r="E2190" s="130"/>
      <c r="F2190" s="102"/>
      <c r="G2190" s="122"/>
      <c r="H2190" s="85"/>
      <c r="I2190" s="85"/>
    </row>
    <row r="2191" spans="3:9" ht="15.75">
      <c r="C2191" s="111"/>
      <c r="D2191" s="102"/>
      <c r="E2191" s="130"/>
      <c r="F2191" s="102"/>
      <c r="G2191" s="122"/>
      <c r="H2191" s="85"/>
      <c r="I2191" s="85"/>
    </row>
    <row r="2192" spans="3:9" ht="15.75">
      <c r="C2192" s="111"/>
      <c r="D2192" s="102"/>
      <c r="E2192" s="130"/>
      <c r="F2192" s="102"/>
      <c r="G2192" s="122"/>
      <c r="H2192" s="85"/>
      <c r="I2192" s="85"/>
    </row>
    <row r="2193" spans="3:9" ht="15.75">
      <c r="C2193" s="111"/>
      <c r="D2193" s="102"/>
      <c r="E2193" s="130"/>
      <c r="F2193" s="102"/>
      <c r="G2193" s="122"/>
      <c r="H2193" s="85"/>
      <c r="I2193" s="85"/>
    </row>
    <row r="2194" spans="3:9" ht="15.75">
      <c r="C2194" s="111"/>
      <c r="D2194" s="102"/>
      <c r="E2194" s="130"/>
      <c r="F2194" s="102"/>
      <c r="G2194" s="122"/>
      <c r="H2194" s="85"/>
      <c r="I2194" s="85"/>
    </row>
    <row r="2195" spans="3:9" ht="15.75">
      <c r="C2195" s="111"/>
      <c r="D2195" s="102"/>
      <c r="E2195" s="130"/>
      <c r="F2195" s="102"/>
      <c r="G2195" s="122"/>
      <c r="H2195" s="85"/>
      <c r="I2195" s="85"/>
    </row>
    <row r="2196" spans="3:9" ht="15.75">
      <c r="C2196" s="111"/>
      <c r="D2196" s="102"/>
      <c r="E2196" s="130"/>
      <c r="F2196" s="102"/>
      <c r="G2196" s="122"/>
      <c r="H2196" s="85"/>
      <c r="I2196" s="85"/>
    </row>
    <row r="2197" spans="3:9" ht="15.75">
      <c r="C2197" s="111"/>
      <c r="D2197" s="102"/>
      <c r="E2197" s="130"/>
      <c r="F2197" s="102"/>
      <c r="G2197" s="122"/>
      <c r="H2197" s="85"/>
      <c r="I2197" s="85"/>
    </row>
    <row r="2198" spans="3:9" ht="15.75">
      <c r="C2198" s="111"/>
      <c r="D2198" s="102"/>
      <c r="E2198" s="130"/>
      <c r="F2198" s="102"/>
      <c r="G2198" s="122"/>
      <c r="H2198" s="85"/>
      <c r="I2198" s="85"/>
    </row>
    <row r="2199" spans="3:9" ht="15.75">
      <c r="C2199" s="111"/>
      <c r="D2199" s="102"/>
      <c r="E2199" s="130"/>
      <c r="F2199" s="102"/>
      <c r="G2199" s="122"/>
      <c r="H2199" s="85"/>
      <c r="I2199" s="85"/>
    </row>
    <row r="2200" spans="3:9" ht="15.75">
      <c r="C2200" s="111"/>
      <c r="D2200" s="102"/>
      <c r="E2200" s="130"/>
      <c r="F2200" s="102"/>
      <c r="G2200" s="122"/>
      <c r="H2200" s="85"/>
      <c r="I2200" s="85"/>
    </row>
    <row r="2201" spans="3:9" ht="15.75">
      <c r="C2201" s="111"/>
      <c r="D2201" s="102"/>
      <c r="E2201" s="130"/>
      <c r="F2201" s="102"/>
      <c r="G2201" s="122"/>
      <c r="H2201" s="85"/>
      <c r="I2201" s="85"/>
    </row>
    <row r="2202" spans="3:9" ht="15.75">
      <c r="C2202" s="111"/>
      <c r="D2202" s="102"/>
      <c r="E2202" s="130"/>
      <c r="F2202" s="102"/>
      <c r="G2202" s="122"/>
      <c r="H2202" s="85"/>
      <c r="I2202" s="85"/>
    </row>
    <row r="2203" spans="3:9" ht="15.75">
      <c r="C2203" s="111"/>
      <c r="D2203" s="102"/>
      <c r="E2203" s="130"/>
      <c r="F2203" s="102"/>
      <c r="G2203" s="122"/>
      <c r="H2203" s="85"/>
      <c r="I2203" s="85"/>
    </row>
    <row r="2204" spans="3:9" ht="15.75">
      <c r="C2204" s="111"/>
      <c r="D2204" s="102"/>
      <c r="E2204" s="130"/>
      <c r="F2204" s="102"/>
      <c r="G2204" s="122"/>
      <c r="H2204" s="85"/>
      <c r="I2204" s="85"/>
    </row>
    <row r="2205" spans="3:9" ht="15.75">
      <c r="C2205" s="111"/>
      <c r="D2205" s="102"/>
      <c r="E2205" s="130"/>
      <c r="F2205" s="102"/>
      <c r="G2205" s="122"/>
      <c r="H2205" s="85"/>
      <c r="I2205" s="85"/>
    </row>
    <row r="2206" spans="3:9" ht="15.75">
      <c r="C2206" s="111"/>
      <c r="D2206" s="102"/>
      <c r="E2206" s="130"/>
      <c r="F2206" s="102"/>
      <c r="G2206" s="122"/>
      <c r="H2206" s="85"/>
      <c r="I2206" s="85"/>
    </row>
    <row r="2207" spans="3:9" ht="15.75">
      <c r="C2207" s="111"/>
      <c r="D2207" s="102"/>
      <c r="E2207" s="130"/>
      <c r="F2207" s="102"/>
      <c r="G2207" s="122"/>
      <c r="H2207" s="85"/>
      <c r="I2207" s="85"/>
    </row>
    <row r="2208" spans="3:9" ht="15.75">
      <c r="C2208" s="111"/>
      <c r="D2208" s="102"/>
      <c r="E2208" s="130"/>
      <c r="F2208" s="102"/>
      <c r="G2208" s="122"/>
      <c r="H2208" s="85"/>
      <c r="I2208" s="85"/>
    </row>
    <row r="2209" spans="3:9" ht="15.75">
      <c r="C2209" s="111"/>
      <c r="D2209" s="102"/>
      <c r="E2209" s="130"/>
      <c r="F2209" s="102"/>
      <c r="G2209" s="122"/>
      <c r="H2209" s="85"/>
      <c r="I2209" s="85"/>
    </row>
    <row r="2210" spans="3:9" ht="15.75">
      <c r="C2210" s="111"/>
      <c r="D2210" s="102"/>
      <c r="E2210" s="130"/>
      <c r="F2210" s="102"/>
      <c r="G2210" s="122"/>
      <c r="H2210" s="85"/>
      <c r="I2210" s="85"/>
    </row>
    <row r="2211" spans="3:9" ht="15.75">
      <c r="C2211" s="111"/>
      <c r="D2211" s="102"/>
      <c r="E2211" s="130"/>
      <c r="F2211" s="102"/>
      <c r="G2211" s="122"/>
      <c r="H2211" s="85"/>
      <c r="I2211" s="85"/>
    </row>
    <row r="2212" spans="3:9" ht="15.75">
      <c r="C2212" s="111"/>
      <c r="D2212" s="102"/>
      <c r="E2212" s="130"/>
      <c r="F2212" s="102"/>
      <c r="G2212" s="122"/>
      <c r="H2212" s="85"/>
      <c r="I2212" s="85"/>
    </row>
    <row r="2213" spans="3:9" ht="15.75">
      <c r="C2213" s="111"/>
      <c r="D2213" s="102"/>
      <c r="E2213" s="130"/>
      <c r="F2213" s="102"/>
      <c r="G2213" s="122"/>
      <c r="H2213" s="85"/>
      <c r="I2213" s="85"/>
    </row>
    <row r="2214" spans="3:9" ht="15.75">
      <c r="C2214" s="111"/>
      <c r="D2214" s="102"/>
      <c r="E2214" s="130"/>
      <c r="F2214" s="102"/>
      <c r="G2214" s="122"/>
      <c r="H2214" s="85"/>
      <c r="I2214" s="85"/>
    </row>
    <row r="2215" spans="3:9" ht="15.75">
      <c r="C2215" s="111"/>
      <c r="D2215" s="102"/>
      <c r="E2215" s="130"/>
      <c r="F2215" s="102"/>
      <c r="G2215" s="122"/>
      <c r="H2215" s="85"/>
      <c r="I2215" s="85"/>
    </row>
    <row r="2216" spans="3:9" ht="15.75">
      <c r="C2216" s="111"/>
      <c r="D2216" s="102"/>
      <c r="E2216" s="130"/>
      <c r="F2216" s="102"/>
      <c r="G2216" s="122"/>
      <c r="H2216" s="85"/>
      <c r="I2216" s="85"/>
    </row>
    <row r="2217" spans="3:9" ht="15.75">
      <c r="C2217" s="111"/>
      <c r="D2217" s="102"/>
      <c r="E2217" s="130"/>
      <c r="F2217" s="102"/>
      <c r="G2217" s="122"/>
      <c r="H2217" s="85"/>
      <c r="I2217" s="85"/>
    </row>
    <row r="2218" spans="3:9" ht="15.75">
      <c r="C2218" s="111"/>
      <c r="D2218" s="102"/>
      <c r="E2218" s="130"/>
      <c r="F2218" s="102"/>
      <c r="G2218" s="122"/>
      <c r="H2218" s="85"/>
      <c r="I2218" s="85"/>
    </row>
    <row r="2219" spans="3:9" ht="15.75">
      <c r="C2219" s="111"/>
      <c r="D2219" s="102"/>
      <c r="E2219" s="130"/>
      <c r="F2219" s="102"/>
      <c r="G2219" s="122"/>
      <c r="H2219" s="85"/>
      <c r="I2219" s="85"/>
    </row>
    <row r="2220" spans="3:9" ht="15.75">
      <c r="C2220" s="111"/>
      <c r="D2220" s="102"/>
      <c r="E2220" s="130"/>
      <c r="F2220" s="102"/>
      <c r="G2220" s="122"/>
      <c r="H2220" s="85"/>
      <c r="I2220" s="85"/>
    </row>
    <row r="2221" spans="3:9" ht="15.75">
      <c r="C2221" s="111"/>
      <c r="D2221" s="102"/>
      <c r="E2221" s="130"/>
      <c r="F2221" s="102"/>
      <c r="G2221" s="122"/>
      <c r="H2221" s="85"/>
      <c r="I2221" s="85"/>
    </row>
    <row r="2222" spans="3:9" ht="15.75">
      <c r="C2222" s="111"/>
      <c r="D2222" s="102"/>
      <c r="E2222" s="130"/>
      <c r="F2222" s="102"/>
      <c r="G2222" s="122"/>
      <c r="H2222" s="85"/>
      <c r="I2222" s="85"/>
    </row>
    <row r="2223" spans="3:9" ht="15.75">
      <c r="C2223" s="111"/>
      <c r="D2223" s="102"/>
      <c r="E2223" s="130"/>
      <c r="F2223" s="102"/>
      <c r="G2223" s="122"/>
      <c r="H2223" s="85"/>
      <c r="I2223" s="85"/>
    </row>
    <row r="2224" spans="3:9" ht="15.75">
      <c r="C2224" s="111"/>
      <c r="D2224" s="102"/>
      <c r="E2224" s="130"/>
      <c r="F2224" s="102"/>
      <c r="G2224" s="122"/>
      <c r="H2224" s="85"/>
      <c r="I2224" s="85"/>
    </row>
    <row r="2225" spans="3:9" ht="15.75">
      <c r="C2225" s="111"/>
      <c r="D2225" s="102"/>
      <c r="E2225" s="130"/>
      <c r="F2225" s="102"/>
      <c r="G2225" s="122"/>
      <c r="H2225" s="85"/>
      <c r="I2225" s="85"/>
    </row>
    <row r="2226" spans="3:9" ht="15.75">
      <c r="C2226" s="111"/>
      <c r="D2226" s="102"/>
      <c r="E2226" s="130"/>
      <c r="F2226" s="102"/>
      <c r="G2226" s="122"/>
      <c r="H2226" s="85"/>
      <c r="I2226" s="85"/>
    </row>
    <row r="2227" spans="3:9" ht="15.75">
      <c r="C2227" s="111"/>
      <c r="D2227" s="102"/>
      <c r="E2227" s="130"/>
      <c r="F2227" s="102"/>
      <c r="G2227" s="122"/>
      <c r="H2227" s="85"/>
      <c r="I2227" s="8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001"/>
  <sheetViews>
    <sheetView zoomScale="90" zoomScaleNormal="90" workbookViewId="0">
      <selection activeCell="H17" sqref="H17"/>
    </sheetView>
  </sheetViews>
  <sheetFormatPr defaultColWidth="8.7109375" defaultRowHeight="12.75"/>
  <cols>
    <col min="1" max="1" width="29.85546875" style="3" customWidth="1"/>
    <col min="2" max="2" width="22.7109375" style="4" customWidth="1"/>
    <col min="3" max="3" width="40.42578125" style="4" customWidth="1"/>
    <col min="4" max="4" width="30.7109375" style="3" customWidth="1"/>
    <col min="5" max="5" width="25" style="3" customWidth="1"/>
    <col min="6" max="6" width="31.42578125" style="3" customWidth="1"/>
    <col min="7" max="7" width="29" style="3" customWidth="1"/>
    <col min="8" max="8" width="14.5703125" style="144" customWidth="1"/>
    <col min="9" max="16384" width="8.7109375" style="3"/>
  </cols>
  <sheetData>
    <row r="1" spans="1:23" s="2" customFormat="1" ht="25.5">
      <c r="A1" s="145" t="s">
        <v>285</v>
      </c>
      <c r="B1" s="145" t="s">
        <v>640</v>
      </c>
      <c r="C1" s="145" t="s">
        <v>0</v>
      </c>
      <c r="D1" s="145" t="s">
        <v>286</v>
      </c>
      <c r="E1" s="145" t="s">
        <v>287</v>
      </c>
      <c r="F1" s="145" t="s">
        <v>288</v>
      </c>
      <c r="G1" s="145" t="s">
        <v>289</v>
      </c>
      <c r="H1" s="146" t="s">
        <v>577</v>
      </c>
      <c r="I1" s="5"/>
      <c r="J1" s="5"/>
      <c r="K1" s="5"/>
      <c r="L1" s="5"/>
      <c r="M1" s="5"/>
      <c r="N1" s="5"/>
      <c r="O1" s="5"/>
      <c r="P1" s="5"/>
      <c r="Q1" s="5"/>
      <c r="R1" s="5"/>
      <c r="S1" s="5"/>
      <c r="T1" s="5"/>
      <c r="U1" s="5"/>
      <c r="V1" s="5"/>
      <c r="W1" s="5"/>
    </row>
    <row r="2" spans="1:23">
      <c r="A2" s="147" t="s">
        <v>61</v>
      </c>
      <c r="B2" s="148"/>
      <c r="C2" s="148"/>
      <c r="D2" s="147"/>
      <c r="E2" s="147"/>
      <c r="F2" s="147"/>
      <c r="G2" s="147"/>
      <c r="H2" s="149"/>
      <c r="I2" s="6"/>
      <c r="J2" s="6"/>
      <c r="K2" s="6"/>
      <c r="L2" s="6"/>
      <c r="M2" s="6"/>
      <c r="N2" s="6"/>
      <c r="O2" s="6"/>
      <c r="P2" s="6"/>
      <c r="Q2" s="6"/>
      <c r="R2" s="6"/>
      <c r="S2" s="6"/>
      <c r="T2" s="6"/>
      <c r="U2" s="6"/>
      <c r="V2" s="6"/>
      <c r="W2" s="6"/>
    </row>
    <row r="3" spans="1:23" ht="25.5">
      <c r="A3" s="151">
        <v>1</v>
      </c>
      <c r="B3" s="152" t="s">
        <v>290</v>
      </c>
      <c r="C3" s="152" t="s">
        <v>290</v>
      </c>
      <c r="D3" s="151" t="s">
        <v>291</v>
      </c>
      <c r="E3" s="151" t="s">
        <v>292</v>
      </c>
      <c r="F3" s="152" t="s">
        <v>293</v>
      </c>
      <c r="G3" s="151"/>
      <c r="H3" s="153"/>
      <c r="I3" s="7"/>
      <c r="J3" s="7"/>
      <c r="K3" s="7"/>
      <c r="L3" s="7"/>
      <c r="M3" s="7"/>
      <c r="N3" s="7"/>
      <c r="O3" s="7"/>
      <c r="P3" s="7"/>
      <c r="Q3" s="7"/>
      <c r="R3" s="7"/>
      <c r="S3" s="7"/>
      <c r="T3" s="7"/>
      <c r="U3" s="7"/>
      <c r="V3" s="7"/>
      <c r="W3" s="7"/>
    </row>
    <row r="4" spans="1:23" ht="25.5">
      <c r="A4" s="151">
        <v>2</v>
      </c>
      <c r="B4" s="152" t="s">
        <v>290</v>
      </c>
      <c r="C4" s="152" t="s">
        <v>290</v>
      </c>
      <c r="D4" s="151" t="s">
        <v>294</v>
      </c>
      <c r="E4" s="151" t="s">
        <v>292</v>
      </c>
      <c r="F4" s="152" t="s">
        <v>293</v>
      </c>
      <c r="G4" s="151"/>
      <c r="H4" s="153"/>
      <c r="I4" s="7"/>
      <c r="J4" s="7"/>
      <c r="K4" s="7"/>
      <c r="L4" s="7"/>
      <c r="M4" s="7"/>
      <c r="N4" s="7"/>
      <c r="O4" s="7"/>
      <c r="P4" s="7"/>
      <c r="Q4" s="7"/>
      <c r="R4" s="7"/>
      <c r="S4" s="7"/>
      <c r="T4" s="7"/>
      <c r="U4" s="7"/>
      <c r="V4" s="7"/>
      <c r="W4" s="7"/>
    </row>
    <row r="5" spans="1:23" ht="25.5">
      <c r="A5" s="151">
        <v>3</v>
      </c>
      <c r="B5" s="152" t="s">
        <v>290</v>
      </c>
      <c r="C5" s="152" t="s">
        <v>290</v>
      </c>
      <c r="D5" s="151" t="s">
        <v>295</v>
      </c>
      <c r="E5" s="151" t="s">
        <v>292</v>
      </c>
      <c r="F5" s="152" t="s">
        <v>296</v>
      </c>
      <c r="G5" s="151"/>
      <c r="H5" s="153"/>
      <c r="I5" s="7"/>
      <c r="J5" s="7"/>
      <c r="K5" s="7"/>
      <c r="L5" s="7"/>
      <c r="M5" s="7"/>
      <c r="N5" s="7"/>
      <c r="O5" s="7"/>
      <c r="P5" s="7"/>
      <c r="Q5" s="7"/>
      <c r="R5" s="7"/>
      <c r="S5" s="7"/>
      <c r="T5" s="7"/>
      <c r="U5" s="7"/>
      <c r="V5" s="7"/>
      <c r="W5" s="7"/>
    </row>
    <row r="6" spans="1:23">
      <c r="A6" s="147" t="s">
        <v>69</v>
      </c>
      <c r="B6" s="148"/>
      <c r="C6" s="148"/>
      <c r="D6" s="147"/>
      <c r="E6" s="147"/>
      <c r="F6" s="147"/>
      <c r="G6" s="147"/>
      <c r="H6" s="149"/>
      <c r="I6" s="6"/>
      <c r="J6" s="6"/>
      <c r="K6" s="6"/>
      <c r="L6" s="6"/>
      <c r="M6" s="6"/>
      <c r="N6" s="6"/>
      <c r="O6" s="6"/>
      <c r="P6" s="6"/>
      <c r="Q6" s="6"/>
      <c r="R6" s="6"/>
      <c r="S6" s="6"/>
      <c r="T6" s="6"/>
      <c r="U6" s="6"/>
      <c r="V6" s="6"/>
      <c r="W6" s="6"/>
    </row>
    <row r="7" spans="1:23" ht="25.5">
      <c r="A7" s="151">
        <v>4</v>
      </c>
      <c r="B7" s="152" t="s">
        <v>642</v>
      </c>
      <c r="C7" s="152" t="s">
        <v>297</v>
      </c>
      <c r="D7" s="152" t="s">
        <v>298</v>
      </c>
      <c r="E7" s="152"/>
      <c r="F7" s="152" t="s">
        <v>299</v>
      </c>
      <c r="G7" s="151"/>
      <c r="H7" s="153"/>
      <c r="I7" s="7"/>
      <c r="J7" s="7"/>
      <c r="K7" s="7"/>
      <c r="L7" s="7"/>
      <c r="M7" s="7"/>
      <c r="N7" s="7"/>
      <c r="O7" s="7"/>
      <c r="P7" s="7"/>
      <c r="Q7" s="7"/>
      <c r="R7" s="7"/>
      <c r="S7" s="7"/>
      <c r="T7" s="7"/>
      <c r="U7" s="7"/>
      <c r="V7" s="7"/>
      <c r="W7" s="7"/>
    </row>
    <row r="8" spans="1:23" ht="25.5">
      <c r="A8" s="151">
        <v>5</v>
      </c>
      <c r="B8" s="152" t="s">
        <v>642</v>
      </c>
      <c r="C8" s="152" t="s">
        <v>300</v>
      </c>
      <c r="D8" s="152" t="s">
        <v>298</v>
      </c>
      <c r="E8" s="152"/>
      <c r="F8" s="152" t="s">
        <v>299</v>
      </c>
      <c r="G8" s="151"/>
      <c r="H8" s="153"/>
      <c r="I8" s="7"/>
      <c r="J8" s="7"/>
      <c r="K8" s="7"/>
      <c r="L8" s="7"/>
      <c r="M8" s="7"/>
      <c r="N8" s="7"/>
      <c r="O8" s="7"/>
      <c r="P8" s="7"/>
      <c r="Q8" s="7"/>
      <c r="R8" s="7"/>
      <c r="S8" s="7"/>
      <c r="T8" s="7"/>
      <c r="U8" s="7"/>
      <c r="V8" s="7"/>
      <c r="W8" s="7"/>
    </row>
    <row r="9" spans="1:23" ht="25.5">
      <c r="A9" s="151">
        <v>6</v>
      </c>
      <c r="B9" s="160" t="s">
        <v>589</v>
      </c>
      <c r="C9" s="152" t="s">
        <v>301</v>
      </c>
      <c r="D9" s="152" t="s">
        <v>298</v>
      </c>
      <c r="E9" s="152" t="s">
        <v>302</v>
      </c>
      <c r="F9" s="152" t="s">
        <v>299</v>
      </c>
      <c r="G9" s="151"/>
      <c r="H9" s="153"/>
      <c r="I9" s="7"/>
      <c r="J9" s="7"/>
      <c r="K9" s="7"/>
      <c r="L9" s="7"/>
      <c r="M9" s="7"/>
      <c r="N9" s="7"/>
      <c r="O9" s="7"/>
      <c r="P9" s="7"/>
      <c r="Q9" s="7"/>
      <c r="R9" s="7"/>
      <c r="S9" s="7"/>
      <c r="T9" s="7"/>
      <c r="U9" s="7"/>
      <c r="V9" s="7"/>
      <c r="W9" s="7"/>
    </row>
    <row r="10" spans="1:23">
      <c r="A10" s="147" t="s">
        <v>303</v>
      </c>
      <c r="B10" s="148"/>
      <c r="C10" s="148"/>
      <c r="D10" s="147"/>
      <c r="E10" s="147"/>
      <c r="F10" s="147"/>
      <c r="G10" s="147"/>
      <c r="H10" s="149"/>
      <c r="I10" s="6"/>
      <c r="J10" s="6"/>
      <c r="K10" s="6"/>
      <c r="L10" s="6"/>
      <c r="M10" s="6"/>
      <c r="N10" s="6"/>
      <c r="O10" s="6"/>
      <c r="P10" s="6"/>
      <c r="Q10" s="6"/>
      <c r="R10" s="6"/>
      <c r="S10" s="6"/>
      <c r="T10" s="6"/>
      <c r="U10" s="6"/>
      <c r="V10" s="6"/>
      <c r="W10" s="6"/>
    </row>
    <row r="11" spans="1:23" ht="25.5">
      <c r="A11" s="151">
        <v>7</v>
      </c>
      <c r="B11" s="152" t="s">
        <v>641</v>
      </c>
      <c r="C11" s="152" t="s">
        <v>304</v>
      </c>
      <c r="D11" s="152" t="s">
        <v>305</v>
      </c>
      <c r="E11" s="152"/>
      <c r="F11" s="151"/>
      <c r="G11" s="151"/>
      <c r="H11" s="153"/>
      <c r="I11" s="7"/>
      <c r="J11" s="7"/>
      <c r="K11" s="7"/>
      <c r="L11" s="7"/>
      <c r="M11" s="7"/>
      <c r="N11" s="7"/>
      <c r="O11" s="7"/>
      <c r="P11" s="7"/>
      <c r="Q11" s="7"/>
      <c r="R11" s="7"/>
      <c r="S11" s="7"/>
      <c r="T11" s="7"/>
      <c r="U11" s="7"/>
      <c r="V11" s="7"/>
      <c r="W11" s="7"/>
    </row>
    <row r="12" spans="1:23" ht="25.5">
      <c r="A12" s="151">
        <v>8</v>
      </c>
      <c r="B12" s="152" t="s">
        <v>642</v>
      </c>
      <c r="C12" s="152" t="s">
        <v>306</v>
      </c>
      <c r="D12" s="152" t="s">
        <v>307</v>
      </c>
      <c r="E12" s="152"/>
      <c r="F12" s="151"/>
      <c r="G12" s="151"/>
      <c r="H12" s="153"/>
      <c r="I12" s="7"/>
      <c r="J12" s="7"/>
      <c r="K12" s="7"/>
      <c r="L12" s="7"/>
      <c r="M12" s="7"/>
      <c r="N12" s="7"/>
      <c r="O12" s="7"/>
      <c r="P12" s="7"/>
      <c r="Q12" s="7"/>
      <c r="R12" s="7"/>
      <c r="S12" s="7"/>
      <c r="T12" s="7"/>
      <c r="U12" s="7"/>
      <c r="V12" s="7"/>
      <c r="W12" s="7"/>
    </row>
    <row r="13" spans="1:23" ht="25.5">
      <c r="A13" s="151">
        <v>9</v>
      </c>
      <c r="B13" s="160" t="s">
        <v>606</v>
      </c>
      <c r="C13" s="152" t="s">
        <v>308</v>
      </c>
      <c r="D13" s="152" t="s">
        <v>309</v>
      </c>
      <c r="E13" s="152"/>
      <c r="F13" s="152" t="s">
        <v>310</v>
      </c>
      <c r="G13" s="151"/>
      <c r="H13" s="153"/>
      <c r="I13" s="7"/>
      <c r="J13" s="7"/>
      <c r="K13" s="7"/>
      <c r="L13" s="7"/>
      <c r="M13" s="7"/>
      <c r="N13" s="7"/>
      <c r="O13" s="7"/>
      <c r="P13" s="7"/>
      <c r="Q13" s="7"/>
      <c r="R13" s="7"/>
      <c r="S13" s="7"/>
      <c r="T13" s="7"/>
      <c r="U13" s="7"/>
      <c r="V13" s="7"/>
      <c r="W13" s="7"/>
    </row>
    <row r="14" spans="1:23" ht="25.5">
      <c r="A14" s="151">
        <v>10</v>
      </c>
      <c r="B14" s="152" t="s">
        <v>642</v>
      </c>
      <c r="C14" s="152" t="s">
        <v>306</v>
      </c>
      <c r="D14" s="152" t="s">
        <v>311</v>
      </c>
      <c r="E14" s="152"/>
      <c r="F14" s="152" t="s">
        <v>312</v>
      </c>
      <c r="G14" s="151"/>
      <c r="H14" s="153"/>
      <c r="I14" s="7"/>
      <c r="J14" s="7"/>
      <c r="K14" s="7"/>
      <c r="L14" s="7"/>
      <c r="M14" s="7"/>
      <c r="N14" s="7"/>
      <c r="O14" s="7"/>
      <c r="P14" s="7"/>
      <c r="Q14" s="7"/>
      <c r="R14" s="7"/>
      <c r="S14" s="7"/>
      <c r="T14" s="7"/>
      <c r="U14" s="7"/>
      <c r="V14" s="7"/>
      <c r="W14" s="7"/>
    </row>
    <row r="15" spans="1:23" ht="38.25">
      <c r="A15" s="151">
        <v>11</v>
      </c>
      <c r="B15" s="160" t="s">
        <v>608</v>
      </c>
      <c r="C15" s="152" t="s">
        <v>313</v>
      </c>
      <c r="D15" s="152" t="s">
        <v>314</v>
      </c>
      <c r="E15" s="152"/>
      <c r="F15" s="152" t="s">
        <v>315</v>
      </c>
      <c r="G15" s="151"/>
      <c r="H15" s="153"/>
      <c r="I15" s="7"/>
      <c r="J15" s="7"/>
      <c r="K15" s="7"/>
      <c r="L15" s="7"/>
      <c r="M15" s="7"/>
      <c r="N15" s="7"/>
      <c r="O15" s="7"/>
      <c r="P15" s="7"/>
      <c r="Q15" s="7"/>
      <c r="R15" s="7"/>
      <c r="S15" s="7"/>
      <c r="T15" s="7"/>
      <c r="U15" s="7"/>
      <c r="V15" s="7"/>
      <c r="W15" s="7"/>
    </row>
    <row r="16" spans="1:23" ht="25.5">
      <c r="A16" s="151">
        <v>12</v>
      </c>
      <c r="B16" s="160" t="s">
        <v>617</v>
      </c>
      <c r="C16" s="152" t="s">
        <v>316</v>
      </c>
      <c r="D16" s="152" t="s">
        <v>317</v>
      </c>
      <c r="E16" s="152"/>
      <c r="F16" s="152" t="s">
        <v>318</v>
      </c>
      <c r="G16" s="151"/>
      <c r="H16" s="153"/>
      <c r="I16" s="7"/>
      <c r="J16" s="7"/>
      <c r="K16" s="7"/>
      <c r="L16" s="7"/>
      <c r="M16" s="7"/>
      <c r="N16" s="7"/>
      <c r="O16" s="7"/>
      <c r="P16" s="7"/>
      <c r="Q16" s="7"/>
      <c r="R16" s="7"/>
      <c r="S16" s="7"/>
      <c r="T16" s="7"/>
      <c r="U16" s="7"/>
      <c r="V16" s="7"/>
      <c r="W16" s="7"/>
    </row>
    <row r="17" spans="1:23" ht="25.5">
      <c r="A17" s="151">
        <v>13</v>
      </c>
      <c r="B17" s="152" t="s">
        <v>639</v>
      </c>
      <c r="C17" s="152" t="s">
        <v>319</v>
      </c>
      <c r="D17" s="152" t="s">
        <v>320</v>
      </c>
      <c r="E17" s="152"/>
      <c r="F17" s="151"/>
      <c r="G17" s="151"/>
      <c r="H17" s="153"/>
      <c r="I17" s="7"/>
      <c r="J17" s="7"/>
      <c r="K17" s="7"/>
      <c r="L17" s="7"/>
      <c r="M17" s="7"/>
      <c r="N17" s="7"/>
      <c r="O17" s="7"/>
      <c r="P17" s="7"/>
      <c r="Q17" s="7"/>
      <c r="R17" s="7"/>
      <c r="S17" s="7"/>
      <c r="T17" s="7"/>
      <c r="U17" s="7"/>
      <c r="V17" s="7"/>
      <c r="W17" s="7"/>
    </row>
    <row r="18" spans="1:23">
      <c r="A18" s="147" t="s">
        <v>92</v>
      </c>
      <c r="B18" s="148"/>
      <c r="C18" s="148"/>
      <c r="D18" s="147"/>
      <c r="E18" s="147"/>
      <c r="F18" s="147"/>
      <c r="G18" s="147"/>
      <c r="H18" s="149"/>
      <c r="I18" s="6"/>
      <c r="J18" s="6"/>
      <c r="K18" s="6"/>
      <c r="L18" s="6"/>
      <c r="M18" s="6"/>
      <c r="N18" s="6"/>
      <c r="O18" s="6"/>
      <c r="P18" s="6"/>
      <c r="Q18" s="6"/>
      <c r="R18" s="6"/>
      <c r="S18" s="6"/>
      <c r="T18" s="6"/>
      <c r="U18" s="6"/>
      <c r="V18" s="6"/>
      <c r="W18" s="6"/>
    </row>
    <row r="19" spans="1:23" ht="38.25">
      <c r="A19" s="151">
        <v>14</v>
      </c>
      <c r="B19" s="160" t="s">
        <v>619</v>
      </c>
      <c r="C19" s="152" t="s">
        <v>321</v>
      </c>
      <c r="D19" s="152" t="s">
        <v>322</v>
      </c>
      <c r="E19" s="152" t="s">
        <v>323</v>
      </c>
      <c r="F19" s="151" t="s">
        <v>324</v>
      </c>
      <c r="G19" s="151" t="s">
        <v>325</v>
      </c>
      <c r="H19" s="153"/>
      <c r="I19" s="7"/>
      <c r="J19" s="7"/>
      <c r="K19" s="7"/>
      <c r="L19" s="7"/>
      <c r="M19" s="7"/>
      <c r="N19" s="7"/>
      <c r="O19" s="7"/>
      <c r="P19" s="7"/>
      <c r="Q19" s="7"/>
      <c r="R19" s="7"/>
      <c r="S19" s="7"/>
      <c r="T19" s="7"/>
      <c r="U19" s="7"/>
      <c r="V19" s="7"/>
      <c r="W19" s="7"/>
    </row>
    <row r="20" spans="1:23">
      <c r="A20" s="151">
        <v>15</v>
      </c>
      <c r="B20" s="152" t="s">
        <v>620</v>
      </c>
      <c r="C20" s="152" t="s">
        <v>326</v>
      </c>
      <c r="D20" s="152" t="s">
        <v>327</v>
      </c>
      <c r="E20" s="152"/>
      <c r="F20" s="151" t="s">
        <v>328</v>
      </c>
      <c r="G20" s="151" t="s">
        <v>325</v>
      </c>
      <c r="H20" s="153"/>
      <c r="I20" s="7"/>
      <c r="J20" s="7"/>
      <c r="K20" s="7"/>
      <c r="L20" s="7"/>
      <c r="M20" s="7"/>
      <c r="N20" s="7"/>
      <c r="O20" s="7"/>
      <c r="P20" s="7"/>
      <c r="Q20" s="7"/>
      <c r="R20" s="7"/>
      <c r="S20" s="7"/>
      <c r="T20" s="7"/>
      <c r="U20" s="7"/>
      <c r="V20" s="7"/>
      <c r="W20" s="7"/>
    </row>
    <row r="21" spans="1:23" ht="25.5">
      <c r="A21" s="151">
        <v>16</v>
      </c>
      <c r="B21" s="152" t="s">
        <v>642</v>
      </c>
      <c r="C21" s="152" t="s">
        <v>329</v>
      </c>
      <c r="D21" s="152" t="s">
        <v>330</v>
      </c>
      <c r="E21" s="154"/>
      <c r="F21" s="151" t="s">
        <v>331</v>
      </c>
      <c r="G21" s="151"/>
      <c r="H21" s="153"/>
      <c r="I21" s="7"/>
      <c r="J21" s="7"/>
      <c r="K21" s="7"/>
      <c r="L21" s="7"/>
      <c r="M21" s="7"/>
      <c r="N21" s="7"/>
      <c r="O21" s="7"/>
      <c r="P21" s="7"/>
      <c r="Q21" s="7"/>
      <c r="R21" s="7"/>
      <c r="S21" s="7"/>
      <c r="T21" s="7"/>
      <c r="U21" s="7"/>
      <c r="V21" s="7"/>
      <c r="W21" s="7"/>
    </row>
    <row r="22" spans="1:23" ht="127.5">
      <c r="A22" s="151">
        <v>17</v>
      </c>
      <c r="B22" s="160" t="s">
        <v>621</v>
      </c>
      <c r="C22" s="152" t="s">
        <v>332</v>
      </c>
      <c r="D22" s="152" t="s">
        <v>333</v>
      </c>
      <c r="E22" s="152"/>
      <c r="F22" s="151" t="s">
        <v>334</v>
      </c>
      <c r="G22" s="151" t="s">
        <v>335</v>
      </c>
      <c r="H22" s="153"/>
      <c r="I22" s="7"/>
      <c r="J22" s="7"/>
      <c r="K22" s="7"/>
      <c r="L22" s="7"/>
      <c r="M22" s="7"/>
      <c r="N22" s="7"/>
      <c r="O22" s="7"/>
      <c r="P22" s="7"/>
      <c r="Q22" s="7"/>
      <c r="R22" s="7"/>
      <c r="S22" s="7"/>
      <c r="T22" s="7"/>
      <c r="U22" s="7"/>
      <c r="V22" s="7"/>
      <c r="W22" s="7"/>
    </row>
    <row r="23" spans="1:23" ht="38.25">
      <c r="A23" s="151">
        <v>18</v>
      </c>
      <c r="B23" s="160" t="s">
        <v>624</v>
      </c>
      <c r="C23" s="152" t="s">
        <v>336</v>
      </c>
      <c r="D23" s="152" t="s">
        <v>337</v>
      </c>
      <c r="E23" s="152"/>
      <c r="F23" s="151" t="s">
        <v>334</v>
      </c>
      <c r="G23" s="151" t="s">
        <v>335</v>
      </c>
      <c r="H23" s="153"/>
      <c r="I23" s="7"/>
      <c r="J23" s="7"/>
      <c r="K23" s="7"/>
      <c r="L23" s="7"/>
      <c r="M23" s="7"/>
      <c r="N23" s="7"/>
      <c r="O23" s="7"/>
      <c r="P23" s="7"/>
      <c r="Q23" s="7"/>
      <c r="R23" s="7"/>
      <c r="S23" s="7"/>
      <c r="T23" s="7"/>
      <c r="U23" s="7"/>
      <c r="V23" s="7"/>
      <c r="W23" s="7"/>
    </row>
    <row r="24" spans="1:23">
      <c r="A24" s="147" t="s">
        <v>338</v>
      </c>
      <c r="B24" s="148"/>
      <c r="C24" s="148"/>
      <c r="D24" s="147"/>
      <c r="E24" s="147"/>
      <c r="F24" s="147"/>
      <c r="G24" s="147"/>
      <c r="H24" s="149"/>
      <c r="I24" s="6"/>
      <c r="J24" s="6"/>
      <c r="K24" s="6"/>
      <c r="L24" s="6"/>
      <c r="M24" s="6"/>
      <c r="N24" s="6"/>
      <c r="O24" s="6"/>
      <c r="P24" s="6"/>
      <c r="Q24" s="6"/>
      <c r="R24" s="6"/>
      <c r="S24" s="6"/>
      <c r="T24" s="6"/>
      <c r="U24" s="6"/>
      <c r="V24" s="6"/>
      <c r="W24" s="6"/>
    </row>
    <row r="25" spans="1:23" ht="38.25">
      <c r="A25" s="151">
        <v>19</v>
      </c>
      <c r="B25" s="160" t="s">
        <v>591</v>
      </c>
      <c r="C25" s="152" t="s">
        <v>339</v>
      </c>
      <c r="D25" s="152" t="s">
        <v>340</v>
      </c>
      <c r="E25" s="152" t="s">
        <v>341</v>
      </c>
      <c r="F25" s="152" t="s">
        <v>342</v>
      </c>
      <c r="G25" s="152" t="s">
        <v>343</v>
      </c>
      <c r="H25" s="153"/>
      <c r="I25" s="7"/>
      <c r="J25" s="7"/>
      <c r="K25" s="7"/>
      <c r="L25" s="7"/>
      <c r="M25" s="7"/>
      <c r="N25" s="7"/>
      <c r="O25" s="7"/>
      <c r="P25" s="7"/>
      <c r="Q25" s="7"/>
      <c r="R25" s="7"/>
      <c r="S25" s="7"/>
      <c r="T25" s="7"/>
      <c r="U25" s="7"/>
      <c r="V25" s="7"/>
      <c r="W25" s="7"/>
    </row>
    <row r="26" spans="1:23" ht="38.25">
      <c r="A26" s="151">
        <v>20</v>
      </c>
      <c r="B26" s="160" t="s">
        <v>591</v>
      </c>
      <c r="C26" s="152" t="s">
        <v>344</v>
      </c>
      <c r="D26" s="152" t="s">
        <v>345</v>
      </c>
      <c r="E26" s="152" t="s">
        <v>341</v>
      </c>
      <c r="F26" s="151" t="s">
        <v>346</v>
      </c>
      <c r="G26" s="151" t="s">
        <v>347</v>
      </c>
      <c r="H26" s="153"/>
      <c r="I26" s="7"/>
      <c r="J26" s="7"/>
      <c r="K26" s="7"/>
      <c r="L26" s="7"/>
      <c r="M26" s="7"/>
      <c r="N26" s="7"/>
      <c r="O26" s="7"/>
      <c r="P26" s="7"/>
      <c r="Q26" s="7"/>
      <c r="R26" s="7"/>
      <c r="S26" s="7"/>
      <c r="T26" s="7"/>
      <c r="U26" s="7"/>
      <c r="V26" s="7"/>
      <c r="W26" s="7"/>
    </row>
    <row r="27" spans="1:23">
      <c r="A27" s="147" t="s">
        <v>109</v>
      </c>
      <c r="B27" s="148"/>
      <c r="C27" s="148"/>
      <c r="D27" s="147"/>
      <c r="E27" s="147"/>
      <c r="F27" s="147"/>
      <c r="G27" s="147"/>
      <c r="H27" s="149"/>
      <c r="I27" s="6"/>
      <c r="J27" s="6"/>
      <c r="K27" s="6"/>
      <c r="L27" s="6"/>
      <c r="M27" s="6"/>
      <c r="N27" s="6"/>
      <c r="O27" s="6"/>
      <c r="P27" s="6"/>
      <c r="Q27" s="6"/>
      <c r="R27" s="6"/>
      <c r="S27" s="6"/>
      <c r="T27" s="6"/>
      <c r="U27" s="6"/>
      <c r="V27" s="6"/>
      <c r="W27" s="6"/>
    </row>
    <row r="28" spans="1:23" ht="25.5">
      <c r="A28" s="151">
        <v>21</v>
      </c>
      <c r="B28" s="152" t="s">
        <v>642</v>
      </c>
      <c r="C28" s="152" t="s">
        <v>348</v>
      </c>
      <c r="D28" s="151" t="s">
        <v>349</v>
      </c>
      <c r="E28" s="155">
        <v>3.1</v>
      </c>
      <c r="F28" s="152" t="s">
        <v>350</v>
      </c>
      <c r="G28" s="151"/>
      <c r="H28" s="153"/>
      <c r="I28" s="7"/>
      <c r="J28" s="7"/>
      <c r="K28" s="7"/>
      <c r="L28" s="7"/>
      <c r="M28" s="7"/>
      <c r="N28" s="7"/>
      <c r="O28" s="7"/>
      <c r="P28" s="7"/>
      <c r="Q28" s="7"/>
      <c r="R28" s="7"/>
      <c r="S28" s="7"/>
      <c r="T28" s="7"/>
      <c r="U28" s="7"/>
      <c r="V28" s="7"/>
      <c r="W28" s="7"/>
    </row>
    <row r="29" spans="1:23" ht="25.5">
      <c r="A29" s="151">
        <v>22</v>
      </c>
      <c r="B29" s="152" t="s">
        <v>643</v>
      </c>
      <c r="C29" s="152" t="s">
        <v>351</v>
      </c>
      <c r="D29" s="152" t="s">
        <v>352</v>
      </c>
      <c r="E29" s="152" t="s">
        <v>353</v>
      </c>
      <c r="F29" s="152" t="s">
        <v>350</v>
      </c>
      <c r="G29" s="151" t="s">
        <v>354</v>
      </c>
      <c r="H29" s="153"/>
      <c r="I29" s="7"/>
      <c r="J29" s="7"/>
      <c r="K29" s="7"/>
      <c r="L29" s="7"/>
      <c r="M29" s="7"/>
      <c r="N29" s="7"/>
      <c r="O29" s="7"/>
      <c r="P29" s="7"/>
      <c r="Q29" s="7"/>
      <c r="R29" s="7"/>
      <c r="S29" s="7"/>
      <c r="T29" s="7"/>
      <c r="U29" s="7"/>
      <c r="V29" s="7"/>
      <c r="W29" s="7"/>
    </row>
    <row r="30" spans="1:23" ht="38.25">
      <c r="A30" s="151">
        <v>23</v>
      </c>
      <c r="B30" s="160" t="s">
        <v>578</v>
      </c>
      <c r="C30" s="152" t="s">
        <v>355</v>
      </c>
      <c r="D30" s="152" t="s">
        <v>356</v>
      </c>
      <c r="E30" s="152" t="s">
        <v>353</v>
      </c>
      <c r="F30" s="152" t="s">
        <v>350</v>
      </c>
      <c r="G30" s="151" t="s">
        <v>357</v>
      </c>
      <c r="H30" s="153"/>
      <c r="I30" s="7"/>
      <c r="J30" s="7"/>
      <c r="K30" s="7"/>
      <c r="L30" s="7"/>
      <c r="M30" s="7"/>
      <c r="N30" s="7"/>
      <c r="O30" s="7"/>
      <c r="P30" s="7"/>
      <c r="Q30" s="7"/>
      <c r="R30" s="7"/>
      <c r="S30" s="7"/>
      <c r="T30" s="7"/>
      <c r="U30" s="7"/>
      <c r="V30" s="7"/>
      <c r="W30" s="7"/>
    </row>
    <row r="31" spans="1:23" ht="25.5">
      <c r="A31" s="151">
        <v>24</v>
      </c>
      <c r="B31" s="160" t="s">
        <v>595</v>
      </c>
      <c r="C31" s="152" t="s">
        <v>358</v>
      </c>
      <c r="D31" s="152" t="s">
        <v>359</v>
      </c>
      <c r="E31" s="152"/>
      <c r="F31" s="152" t="s">
        <v>360</v>
      </c>
      <c r="G31" s="151" t="s">
        <v>357</v>
      </c>
      <c r="H31" s="153"/>
      <c r="I31" s="7"/>
      <c r="J31" s="7"/>
      <c r="K31" s="7"/>
      <c r="L31" s="7"/>
      <c r="M31" s="7"/>
      <c r="N31" s="7"/>
      <c r="O31" s="7"/>
      <c r="P31" s="7"/>
      <c r="Q31" s="7"/>
      <c r="R31" s="7"/>
      <c r="S31" s="7"/>
      <c r="T31" s="7"/>
      <c r="U31" s="7"/>
      <c r="V31" s="7"/>
      <c r="W31" s="7"/>
    </row>
    <row r="32" spans="1:23" ht="102">
      <c r="A32" s="151">
        <v>25</v>
      </c>
      <c r="B32" s="160" t="s">
        <v>615</v>
      </c>
      <c r="C32" s="152" t="s">
        <v>361</v>
      </c>
      <c r="D32" s="152" t="s">
        <v>362</v>
      </c>
      <c r="E32" s="152" t="s">
        <v>353</v>
      </c>
      <c r="F32" s="152" t="s">
        <v>363</v>
      </c>
      <c r="G32" s="151" t="s">
        <v>364</v>
      </c>
      <c r="H32" s="153"/>
      <c r="I32" s="7"/>
      <c r="J32" s="7"/>
      <c r="K32" s="7"/>
      <c r="L32" s="7"/>
      <c r="M32" s="7"/>
      <c r="N32" s="7"/>
      <c r="O32" s="7"/>
      <c r="P32" s="7"/>
      <c r="Q32" s="7"/>
      <c r="R32" s="7"/>
      <c r="S32" s="7"/>
      <c r="T32" s="7"/>
      <c r="U32" s="7"/>
      <c r="V32" s="7"/>
      <c r="W32" s="7"/>
    </row>
    <row r="33" spans="1:23" ht="25.5">
      <c r="A33" s="151">
        <v>26</v>
      </c>
      <c r="B33" s="152" t="s">
        <v>642</v>
      </c>
      <c r="C33" s="152" t="s">
        <v>306</v>
      </c>
      <c r="D33" s="152" t="s">
        <v>365</v>
      </c>
      <c r="E33" s="152"/>
      <c r="F33" s="151" t="s">
        <v>366</v>
      </c>
      <c r="G33" s="151"/>
      <c r="H33" s="153"/>
      <c r="I33" s="7"/>
      <c r="J33" s="7"/>
      <c r="K33" s="7"/>
      <c r="L33" s="7"/>
      <c r="M33" s="7"/>
      <c r="N33" s="7"/>
      <c r="O33" s="7"/>
      <c r="P33" s="7"/>
      <c r="Q33" s="7"/>
      <c r="R33" s="7"/>
      <c r="S33" s="7"/>
      <c r="T33" s="7"/>
      <c r="U33" s="7"/>
      <c r="V33" s="7"/>
      <c r="W33" s="7"/>
    </row>
    <row r="34" spans="1:23" ht="25.5">
      <c r="A34" s="151">
        <v>27</v>
      </c>
      <c r="B34" s="152" t="s">
        <v>642</v>
      </c>
      <c r="C34" s="152" t="s">
        <v>367</v>
      </c>
      <c r="D34" s="152" t="s">
        <v>368</v>
      </c>
      <c r="E34" s="152"/>
      <c r="F34" s="150" t="s">
        <v>369</v>
      </c>
      <c r="G34" s="151" t="s">
        <v>354</v>
      </c>
      <c r="H34" s="153"/>
      <c r="I34" s="7"/>
      <c r="J34" s="7"/>
      <c r="K34" s="7"/>
      <c r="L34" s="7"/>
      <c r="M34" s="7"/>
      <c r="N34" s="7"/>
      <c r="O34" s="7"/>
      <c r="P34" s="7"/>
      <c r="Q34" s="7"/>
      <c r="R34" s="7"/>
      <c r="S34" s="7"/>
      <c r="T34" s="7"/>
      <c r="U34" s="7"/>
      <c r="V34" s="7"/>
      <c r="W34" s="7"/>
    </row>
    <row r="35" spans="1:23" ht="25.5">
      <c r="A35" s="151">
        <v>28</v>
      </c>
      <c r="B35" s="160" t="s">
        <v>579</v>
      </c>
      <c r="C35" s="152" t="s">
        <v>370</v>
      </c>
      <c r="D35" s="152" t="s">
        <v>371</v>
      </c>
      <c r="E35" s="152" t="s">
        <v>372</v>
      </c>
      <c r="F35" s="151"/>
      <c r="G35" s="151" t="s">
        <v>335</v>
      </c>
      <c r="H35" s="153"/>
      <c r="I35" s="7"/>
      <c r="J35" s="7"/>
      <c r="K35" s="7"/>
      <c r="L35" s="7"/>
      <c r="M35" s="7"/>
      <c r="N35" s="7"/>
      <c r="O35" s="7"/>
      <c r="P35" s="7"/>
      <c r="Q35" s="7"/>
      <c r="R35" s="7"/>
      <c r="S35" s="7"/>
      <c r="T35" s="7"/>
      <c r="U35" s="7"/>
      <c r="V35" s="7"/>
      <c r="W35" s="7"/>
    </row>
    <row r="36" spans="1:23" ht="25.5">
      <c r="A36" s="151">
        <v>29</v>
      </c>
      <c r="B36" s="160" t="s">
        <v>593</v>
      </c>
      <c r="C36" s="160" t="s">
        <v>373</v>
      </c>
      <c r="D36" s="152" t="s">
        <v>374</v>
      </c>
      <c r="E36" s="152"/>
      <c r="F36" s="152" t="s">
        <v>350</v>
      </c>
      <c r="G36" s="151" t="s">
        <v>357</v>
      </c>
      <c r="H36" s="153"/>
      <c r="I36" s="7"/>
      <c r="J36" s="7"/>
      <c r="K36" s="7"/>
      <c r="L36" s="7"/>
      <c r="M36" s="7"/>
      <c r="N36" s="7"/>
      <c r="O36" s="7"/>
      <c r="P36" s="7"/>
      <c r="Q36" s="7"/>
      <c r="R36" s="7"/>
      <c r="S36" s="7"/>
      <c r="T36" s="7"/>
      <c r="U36" s="7"/>
      <c r="V36" s="7"/>
      <c r="W36" s="7"/>
    </row>
    <row r="37" spans="1:23" ht="38.25">
      <c r="A37" s="151">
        <v>30</v>
      </c>
      <c r="B37" s="160" t="s">
        <v>594</v>
      </c>
      <c r="C37" s="156" t="s">
        <v>375</v>
      </c>
      <c r="D37" s="157" t="s">
        <v>376</v>
      </c>
      <c r="E37" s="157" t="s">
        <v>377</v>
      </c>
      <c r="F37" s="152"/>
      <c r="G37" s="151" t="s">
        <v>357</v>
      </c>
      <c r="H37" s="153"/>
      <c r="I37" s="7"/>
      <c r="J37" s="7"/>
      <c r="K37" s="7"/>
      <c r="L37" s="7"/>
      <c r="M37" s="7"/>
      <c r="N37" s="7"/>
      <c r="O37" s="7"/>
      <c r="P37" s="7"/>
      <c r="Q37" s="7"/>
      <c r="R37" s="7"/>
      <c r="S37" s="7"/>
      <c r="T37" s="7"/>
      <c r="U37" s="7"/>
      <c r="V37" s="7"/>
      <c r="W37" s="7"/>
    </row>
    <row r="38" spans="1:23" ht="25.5">
      <c r="A38" s="151">
        <v>31</v>
      </c>
      <c r="B38" s="160" t="s">
        <v>595</v>
      </c>
      <c r="C38" s="156" t="s">
        <v>378</v>
      </c>
      <c r="D38" s="152" t="s">
        <v>379</v>
      </c>
      <c r="E38" s="152" t="s">
        <v>380</v>
      </c>
      <c r="F38" s="151"/>
      <c r="G38" s="151" t="s">
        <v>335</v>
      </c>
      <c r="H38" s="153"/>
      <c r="I38" s="7"/>
      <c r="J38" s="7"/>
      <c r="K38" s="7"/>
      <c r="L38" s="7"/>
      <c r="M38" s="7"/>
      <c r="N38" s="7"/>
      <c r="O38" s="7"/>
      <c r="P38" s="7"/>
      <c r="Q38" s="7"/>
      <c r="R38" s="7"/>
      <c r="S38" s="7"/>
      <c r="T38" s="7"/>
      <c r="U38" s="7"/>
      <c r="V38" s="7"/>
      <c r="W38" s="7"/>
    </row>
    <row r="39" spans="1:23" ht="25.5">
      <c r="A39" s="151">
        <v>32</v>
      </c>
      <c r="B39" s="152" t="s">
        <v>623</v>
      </c>
      <c r="C39" s="156" t="s">
        <v>381</v>
      </c>
      <c r="D39" s="152" t="s">
        <v>382</v>
      </c>
      <c r="E39" s="152" t="s">
        <v>383</v>
      </c>
      <c r="F39" s="151"/>
      <c r="G39" s="151" t="s">
        <v>347</v>
      </c>
      <c r="H39" s="153"/>
      <c r="I39" s="7"/>
      <c r="J39" s="7"/>
      <c r="K39" s="7"/>
      <c r="L39" s="7"/>
      <c r="M39" s="7"/>
      <c r="N39" s="7"/>
      <c r="O39" s="7"/>
      <c r="P39" s="7"/>
      <c r="Q39" s="7"/>
      <c r="R39" s="7"/>
      <c r="S39" s="7"/>
      <c r="T39" s="7"/>
      <c r="U39" s="7"/>
      <c r="V39" s="7"/>
      <c r="W39" s="7"/>
    </row>
    <row r="40" spans="1:23" ht="25.5">
      <c r="A40" s="151">
        <v>33</v>
      </c>
      <c r="B40" s="152" t="s">
        <v>622</v>
      </c>
      <c r="C40" s="156" t="s">
        <v>384</v>
      </c>
      <c r="D40" s="152" t="s">
        <v>385</v>
      </c>
      <c r="E40" s="152"/>
      <c r="F40" s="151"/>
      <c r="G40" s="151"/>
      <c r="H40" s="153"/>
      <c r="I40" s="7"/>
      <c r="J40" s="7"/>
      <c r="K40" s="7"/>
      <c r="L40" s="7"/>
      <c r="M40" s="7"/>
      <c r="N40" s="7"/>
      <c r="O40" s="7"/>
      <c r="P40" s="7"/>
      <c r="Q40" s="7"/>
      <c r="R40" s="7"/>
      <c r="S40" s="7"/>
      <c r="T40" s="7"/>
      <c r="U40" s="7"/>
      <c r="V40" s="7"/>
      <c r="W40" s="7"/>
    </row>
    <row r="41" spans="1:23" ht="25.5">
      <c r="A41" s="151">
        <v>34</v>
      </c>
      <c r="B41" s="160" t="s">
        <v>590</v>
      </c>
      <c r="C41" s="156" t="s">
        <v>386</v>
      </c>
      <c r="D41" s="152" t="s">
        <v>387</v>
      </c>
      <c r="E41" s="152" t="s">
        <v>388</v>
      </c>
      <c r="F41" s="151"/>
      <c r="G41" s="151" t="s">
        <v>389</v>
      </c>
      <c r="H41" s="153"/>
      <c r="I41" s="7"/>
      <c r="J41" s="7"/>
      <c r="K41" s="7"/>
      <c r="L41" s="7"/>
      <c r="M41" s="7"/>
      <c r="N41" s="7"/>
      <c r="O41" s="7"/>
      <c r="P41" s="7"/>
      <c r="Q41" s="7"/>
      <c r="R41" s="7"/>
      <c r="S41" s="7"/>
      <c r="T41" s="7"/>
      <c r="U41" s="7"/>
      <c r="V41" s="7"/>
      <c r="W41" s="7"/>
    </row>
    <row r="42" spans="1:23" ht="51">
      <c r="A42" s="151">
        <v>35</v>
      </c>
      <c r="B42" s="160" t="s">
        <v>618</v>
      </c>
      <c r="C42" s="156" t="s">
        <v>390</v>
      </c>
      <c r="D42" s="157" t="s">
        <v>391</v>
      </c>
      <c r="E42" s="157" t="s">
        <v>392</v>
      </c>
      <c r="F42" s="152" t="s">
        <v>363</v>
      </c>
      <c r="G42" s="151"/>
      <c r="H42" s="153"/>
      <c r="I42" s="7"/>
      <c r="J42" s="7"/>
      <c r="K42" s="7"/>
      <c r="L42" s="7"/>
      <c r="M42" s="7"/>
      <c r="N42" s="7"/>
      <c r="O42" s="7"/>
      <c r="P42" s="7"/>
      <c r="Q42" s="7"/>
      <c r="R42" s="7"/>
      <c r="S42" s="7"/>
      <c r="T42" s="7"/>
      <c r="U42" s="7"/>
      <c r="V42" s="7"/>
      <c r="W42" s="7"/>
    </row>
    <row r="43" spans="1:23">
      <c r="A43" s="147" t="s">
        <v>140</v>
      </c>
      <c r="B43" s="148"/>
      <c r="C43" s="148"/>
      <c r="D43" s="147"/>
      <c r="E43" s="147"/>
      <c r="F43" s="147"/>
      <c r="G43" s="147"/>
      <c r="H43" s="149"/>
      <c r="I43" s="6"/>
      <c r="J43" s="6"/>
      <c r="K43" s="6"/>
      <c r="L43" s="6"/>
      <c r="M43" s="6"/>
      <c r="N43" s="6"/>
      <c r="O43" s="6"/>
      <c r="P43" s="6"/>
      <c r="Q43" s="6"/>
      <c r="R43" s="6"/>
      <c r="S43" s="6"/>
      <c r="T43" s="6"/>
      <c r="U43" s="6"/>
      <c r="V43" s="6"/>
      <c r="W43" s="6"/>
    </row>
    <row r="44" spans="1:23" ht="25.5">
      <c r="A44" s="151">
        <v>36</v>
      </c>
      <c r="B44" s="152" t="s">
        <v>642</v>
      </c>
      <c r="C44" s="152" t="s">
        <v>393</v>
      </c>
      <c r="D44" s="151" t="s">
        <v>394</v>
      </c>
      <c r="E44" s="151" t="s">
        <v>395</v>
      </c>
      <c r="F44" s="151" t="s">
        <v>396</v>
      </c>
      <c r="G44" s="151" t="s">
        <v>389</v>
      </c>
      <c r="H44" s="153"/>
      <c r="I44" s="7"/>
      <c r="J44" s="7"/>
      <c r="K44" s="7"/>
      <c r="L44" s="7"/>
      <c r="M44" s="7"/>
      <c r="N44" s="7"/>
      <c r="O44" s="7"/>
      <c r="P44" s="7"/>
      <c r="Q44" s="7"/>
      <c r="R44" s="7"/>
      <c r="S44" s="7"/>
      <c r="T44" s="7"/>
      <c r="U44" s="7"/>
      <c r="V44" s="7"/>
      <c r="W44" s="7"/>
    </row>
    <row r="45" spans="1:23" ht="25.5">
      <c r="A45" s="151">
        <v>37</v>
      </c>
      <c r="B45" s="152" t="s">
        <v>642</v>
      </c>
      <c r="C45" s="152" t="s">
        <v>393</v>
      </c>
      <c r="D45" s="151" t="s">
        <v>394</v>
      </c>
      <c r="E45" s="151" t="s">
        <v>395</v>
      </c>
      <c r="F45" s="151" t="s">
        <v>397</v>
      </c>
      <c r="G45" s="151" t="s">
        <v>389</v>
      </c>
      <c r="H45" s="153"/>
      <c r="I45" s="7"/>
      <c r="J45" s="7"/>
      <c r="K45" s="7"/>
      <c r="L45" s="7"/>
      <c r="M45" s="7"/>
      <c r="N45" s="7"/>
      <c r="O45" s="7"/>
      <c r="P45" s="7"/>
      <c r="Q45" s="7"/>
      <c r="R45" s="7"/>
      <c r="S45" s="7"/>
      <c r="T45" s="7"/>
      <c r="U45" s="7"/>
      <c r="V45" s="7"/>
      <c r="W45" s="7"/>
    </row>
    <row r="46" spans="1:23" ht="38.25">
      <c r="A46" s="151">
        <v>38</v>
      </c>
      <c r="B46" s="160" t="s">
        <v>596</v>
      </c>
      <c r="C46" s="152" t="s">
        <v>398</v>
      </c>
      <c r="D46" s="152" t="s">
        <v>399</v>
      </c>
      <c r="E46" s="152" t="s">
        <v>400</v>
      </c>
      <c r="F46" s="151" t="s">
        <v>369</v>
      </c>
      <c r="G46" s="151"/>
      <c r="H46" s="153"/>
      <c r="I46" s="7"/>
      <c r="J46" s="7"/>
      <c r="K46" s="7"/>
      <c r="L46" s="7"/>
      <c r="M46" s="7"/>
      <c r="N46" s="7"/>
      <c r="O46" s="7"/>
      <c r="P46" s="7"/>
      <c r="Q46" s="7"/>
      <c r="R46" s="7"/>
      <c r="S46" s="7"/>
      <c r="T46" s="7"/>
      <c r="U46" s="7"/>
      <c r="V46" s="7"/>
      <c r="W46" s="7"/>
    </row>
    <row r="47" spans="1:23">
      <c r="A47" s="147" t="s">
        <v>147</v>
      </c>
      <c r="B47" s="148"/>
      <c r="C47" s="148"/>
      <c r="D47" s="147"/>
      <c r="E47" s="147"/>
      <c r="F47" s="147"/>
      <c r="G47" s="147"/>
      <c r="H47" s="149"/>
      <c r="I47" s="6"/>
      <c r="J47" s="6"/>
      <c r="K47" s="6"/>
      <c r="L47" s="6"/>
      <c r="M47" s="6"/>
      <c r="N47" s="6"/>
      <c r="O47" s="6"/>
      <c r="P47" s="6"/>
      <c r="Q47" s="6"/>
      <c r="R47" s="6"/>
      <c r="S47" s="6"/>
      <c r="T47" s="6"/>
      <c r="U47" s="6"/>
      <c r="V47" s="6"/>
      <c r="W47" s="6"/>
    </row>
    <row r="48" spans="1:23" ht="38.25">
      <c r="A48" s="151">
        <v>39</v>
      </c>
      <c r="B48" s="152" t="s">
        <v>625</v>
      </c>
      <c r="C48" s="152" t="s">
        <v>401</v>
      </c>
      <c r="D48" s="152" t="s">
        <v>402</v>
      </c>
      <c r="E48" s="152" t="s">
        <v>403</v>
      </c>
      <c r="F48" s="151" t="s">
        <v>404</v>
      </c>
      <c r="G48" s="151"/>
      <c r="H48" s="153"/>
      <c r="I48" s="7"/>
      <c r="J48" s="7"/>
      <c r="K48" s="7"/>
      <c r="L48" s="7"/>
      <c r="M48" s="7"/>
      <c r="N48" s="7"/>
      <c r="O48" s="7"/>
      <c r="P48" s="7"/>
      <c r="Q48" s="7"/>
      <c r="R48" s="7"/>
      <c r="S48" s="7"/>
      <c r="T48" s="7"/>
      <c r="U48" s="7"/>
      <c r="V48" s="7"/>
      <c r="W48" s="7"/>
    </row>
    <row r="49" spans="1:23" ht="38.25">
      <c r="A49" s="151">
        <v>40</v>
      </c>
      <c r="B49" s="160" t="s">
        <v>626</v>
      </c>
      <c r="C49" s="152" t="s">
        <v>405</v>
      </c>
      <c r="D49" s="152" t="s">
        <v>406</v>
      </c>
      <c r="E49" s="152" t="s">
        <v>407</v>
      </c>
      <c r="F49" s="151" t="s">
        <v>408</v>
      </c>
      <c r="G49" s="151"/>
      <c r="H49" s="153"/>
      <c r="I49" s="7"/>
      <c r="J49" s="7"/>
      <c r="K49" s="7"/>
      <c r="L49" s="7"/>
      <c r="M49" s="7"/>
      <c r="N49" s="7"/>
      <c r="O49" s="7"/>
      <c r="P49" s="7"/>
      <c r="Q49" s="7"/>
      <c r="R49" s="7"/>
      <c r="S49" s="7"/>
      <c r="T49" s="7"/>
      <c r="U49" s="7"/>
      <c r="V49" s="7"/>
      <c r="W49" s="7"/>
    </row>
    <row r="50" spans="1:23" ht="51">
      <c r="A50" s="151">
        <v>41</v>
      </c>
      <c r="B50" s="160" t="s">
        <v>627</v>
      </c>
      <c r="C50" s="152" t="s">
        <v>409</v>
      </c>
      <c r="D50" s="152" t="s">
        <v>410</v>
      </c>
      <c r="E50" s="152" t="s">
        <v>411</v>
      </c>
      <c r="F50" s="152" t="s">
        <v>412</v>
      </c>
      <c r="G50" s="151"/>
      <c r="H50" s="153"/>
      <c r="I50" s="7"/>
      <c r="J50" s="7"/>
      <c r="K50" s="7"/>
      <c r="L50" s="7"/>
      <c r="M50" s="7"/>
      <c r="N50" s="7"/>
      <c r="O50" s="7"/>
      <c r="P50" s="7"/>
      <c r="Q50" s="7"/>
      <c r="R50" s="7"/>
      <c r="S50" s="7"/>
      <c r="T50" s="7"/>
      <c r="U50" s="7"/>
      <c r="V50" s="7"/>
      <c r="W50" s="7"/>
    </row>
    <row r="51" spans="1:23" ht="25.5">
      <c r="A51" s="151">
        <v>42</v>
      </c>
      <c r="B51" s="152" t="s">
        <v>628</v>
      </c>
      <c r="C51" s="152" t="s">
        <v>413</v>
      </c>
      <c r="D51" s="152" t="s">
        <v>414</v>
      </c>
      <c r="E51" s="152"/>
      <c r="F51" s="151" t="s">
        <v>415</v>
      </c>
      <c r="G51" s="151"/>
      <c r="H51" s="153"/>
      <c r="I51" s="7"/>
      <c r="J51" s="7"/>
      <c r="K51" s="7"/>
      <c r="L51" s="7"/>
      <c r="M51" s="7"/>
      <c r="N51" s="7"/>
      <c r="O51" s="7"/>
      <c r="P51" s="7"/>
      <c r="Q51" s="7"/>
      <c r="R51" s="7"/>
      <c r="S51" s="7"/>
      <c r="T51" s="7"/>
      <c r="U51" s="7"/>
      <c r="V51" s="7"/>
      <c r="W51" s="7"/>
    </row>
    <row r="52" spans="1:23" ht="25.5">
      <c r="A52" s="151">
        <v>43</v>
      </c>
      <c r="B52" s="160" t="s">
        <v>629</v>
      </c>
      <c r="C52" s="152" t="s">
        <v>416</v>
      </c>
      <c r="D52" s="152" t="s">
        <v>417</v>
      </c>
      <c r="E52" s="152" t="s">
        <v>418</v>
      </c>
      <c r="F52" s="152" t="s">
        <v>419</v>
      </c>
      <c r="G52" s="151"/>
      <c r="H52" s="153"/>
      <c r="I52" s="7"/>
      <c r="J52" s="7"/>
      <c r="K52" s="7"/>
      <c r="L52" s="7"/>
      <c r="M52" s="7"/>
      <c r="N52" s="7"/>
      <c r="O52" s="7"/>
      <c r="P52" s="7"/>
      <c r="Q52" s="7"/>
      <c r="R52" s="7"/>
      <c r="S52" s="7"/>
      <c r="T52" s="7"/>
      <c r="U52" s="7"/>
      <c r="V52" s="7"/>
      <c r="W52" s="7"/>
    </row>
    <row r="53" spans="1:23" ht="25.5">
      <c r="A53" s="151">
        <v>44</v>
      </c>
      <c r="B53" s="152" t="s">
        <v>630</v>
      </c>
      <c r="C53" s="152" t="s">
        <v>420</v>
      </c>
      <c r="D53" s="152" t="s">
        <v>421</v>
      </c>
      <c r="E53" s="152" t="s">
        <v>422</v>
      </c>
      <c r="F53" s="152" t="s">
        <v>423</v>
      </c>
      <c r="G53" s="151"/>
      <c r="H53" s="153"/>
      <c r="I53" s="7"/>
      <c r="J53" s="7"/>
      <c r="K53" s="7"/>
      <c r="L53" s="7"/>
      <c r="M53" s="7"/>
      <c r="N53" s="7"/>
      <c r="O53" s="7"/>
      <c r="P53" s="7"/>
      <c r="Q53" s="7"/>
      <c r="R53" s="7"/>
      <c r="S53" s="7"/>
      <c r="T53" s="7"/>
      <c r="U53" s="7"/>
      <c r="V53" s="7"/>
      <c r="W53" s="7"/>
    </row>
    <row r="54" spans="1:23">
      <c r="A54" s="147" t="s">
        <v>163</v>
      </c>
      <c r="B54" s="148"/>
      <c r="C54" s="148"/>
      <c r="D54" s="147"/>
      <c r="E54" s="147"/>
      <c r="F54" s="147"/>
      <c r="G54" s="147"/>
      <c r="H54" s="149"/>
      <c r="I54" s="6"/>
      <c r="J54" s="6"/>
      <c r="K54" s="6"/>
      <c r="L54" s="6"/>
      <c r="M54" s="6"/>
      <c r="N54" s="6"/>
      <c r="O54" s="6"/>
      <c r="P54" s="6"/>
      <c r="Q54" s="6"/>
      <c r="R54" s="6"/>
      <c r="S54" s="6"/>
      <c r="T54" s="6"/>
      <c r="U54" s="6"/>
      <c r="V54" s="6"/>
      <c r="W54" s="6"/>
    </row>
    <row r="55" spans="1:23">
      <c r="A55" s="151">
        <v>45</v>
      </c>
      <c r="B55" s="160" t="s">
        <v>597</v>
      </c>
      <c r="C55" s="152" t="s">
        <v>424</v>
      </c>
      <c r="D55" s="152" t="s">
        <v>425</v>
      </c>
      <c r="E55" s="152" t="s">
        <v>426</v>
      </c>
      <c r="F55" s="152" t="s">
        <v>427</v>
      </c>
      <c r="G55" s="151" t="s">
        <v>364</v>
      </c>
      <c r="H55" s="153"/>
      <c r="I55" s="7"/>
      <c r="J55" s="7"/>
      <c r="K55" s="7"/>
      <c r="L55" s="7"/>
      <c r="M55" s="7"/>
      <c r="N55" s="7"/>
      <c r="O55" s="7"/>
      <c r="P55" s="7"/>
      <c r="Q55" s="7"/>
      <c r="R55" s="7"/>
      <c r="S55" s="7"/>
      <c r="T55" s="7"/>
      <c r="U55" s="7"/>
      <c r="V55" s="7"/>
      <c r="W55" s="7"/>
    </row>
    <row r="56" spans="1:23">
      <c r="A56" s="151">
        <v>46</v>
      </c>
      <c r="B56" s="152" t="s">
        <v>597</v>
      </c>
      <c r="C56" s="152" t="s">
        <v>424</v>
      </c>
      <c r="D56" s="152" t="s">
        <v>428</v>
      </c>
      <c r="E56" s="152" t="s">
        <v>429</v>
      </c>
      <c r="F56" s="152" t="s">
        <v>430</v>
      </c>
      <c r="G56" s="151"/>
      <c r="H56" s="153"/>
      <c r="I56" s="7"/>
      <c r="J56" s="7"/>
      <c r="K56" s="7"/>
      <c r="L56" s="7"/>
      <c r="M56" s="7"/>
      <c r="N56" s="7"/>
      <c r="O56" s="7"/>
      <c r="P56" s="7"/>
      <c r="Q56" s="7"/>
      <c r="R56" s="7"/>
      <c r="S56" s="7"/>
      <c r="T56" s="7"/>
      <c r="U56" s="7"/>
      <c r="V56" s="7"/>
      <c r="W56" s="7"/>
    </row>
    <row r="57" spans="1:23">
      <c r="A57" s="151">
        <v>47</v>
      </c>
      <c r="B57" s="160" t="s">
        <v>607</v>
      </c>
      <c r="C57" s="152" t="s">
        <v>431</v>
      </c>
      <c r="D57" s="152" t="s">
        <v>432</v>
      </c>
      <c r="E57" s="152"/>
      <c r="F57" s="151" t="s">
        <v>360</v>
      </c>
      <c r="G57" s="151"/>
      <c r="H57" s="153"/>
      <c r="I57" s="7"/>
      <c r="J57" s="7"/>
      <c r="K57" s="7"/>
      <c r="L57" s="7"/>
      <c r="M57" s="7"/>
      <c r="N57" s="7"/>
      <c r="O57" s="7"/>
      <c r="P57" s="7"/>
      <c r="Q57" s="7"/>
      <c r="R57" s="7"/>
      <c r="S57" s="7"/>
      <c r="T57" s="7"/>
      <c r="U57" s="7"/>
      <c r="V57" s="7"/>
      <c r="W57" s="7"/>
    </row>
    <row r="58" spans="1:23" ht="25.5">
      <c r="A58" s="151">
        <v>48</v>
      </c>
      <c r="B58" s="152"/>
      <c r="C58" s="152" t="s">
        <v>433</v>
      </c>
      <c r="D58" s="152" t="s">
        <v>434</v>
      </c>
      <c r="E58" s="152"/>
      <c r="F58" s="151" t="s">
        <v>435</v>
      </c>
      <c r="G58" s="151"/>
      <c r="H58" s="153"/>
      <c r="I58" s="7"/>
      <c r="J58" s="7"/>
      <c r="K58" s="7"/>
      <c r="L58" s="7"/>
      <c r="M58" s="7"/>
      <c r="N58" s="7"/>
      <c r="O58" s="7"/>
      <c r="P58" s="7"/>
      <c r="Q58" s="7"/>
      <c r="R58" s="7"/>
      <c r="S58" s="7"/>
      <c r="T58" s="7"/>
      <c r="U58" s="7"/>
      <c r="V58" s="7"/>
      <c r="W58" s="7"/>
    </row>
    <row r="59" spans="1:23">
      <c r="A59" s="151">
        <v>49</v>
      </c>
      <c r="B59" s="152" t="s">
        <v>631</v>
      </c>
      <c r="C59" s="152" t="s">
        <v>436</v>
      </c>
      <c r="D59" s="152" t="s">
        <v>437</v>
      </c>
      <c r="E59" s="152"/>
      <c r="F59" s="151" t="s">
        <v>438</v>
      </c>
      <c r="G59" s="151"/>
      <c r="H59" s="153"/>
      <c r="I59" s="7"/>
      <c r="J59" s="7"/>
      <c r="K59" s="7"/>
      <c r="L59" s="7"/>
      <c r="M59" s="7"/>
      <c r="N59" s="7"/>
      <c r="O59" s="7"/>
      <c r="P59" s="7"/>
      <c r="Q59" s="7"/>
      <c r="R59" s="7"/>
      <c r="S59" s="7"/>
      <c r="T59" s="7"/>
      <c r="U59" s="7"/>
      <c r="V59" s="7"/>
      <c r="W59" s="7"/>
    </row>
    <row r="60" spans="1:23" ht="25.5">
      <c r="A60" s="151">
        <v>50</v>
      </c>
      <c r="B60" s="160" t="s">
        <v>580</v>
      </c>
      <c r="C60" s="156" t="s">
        <v>439</v>
      </c>
      <c r="D60" s="152" t="s">
        <v>440</v>
      </c>
      <c r="E60" s="152" t="s">
        <v>441</v>
      </c>
      <c r="F60" s="152" t="s">
        <v>442</v>
      </c>
      <c r="G60" s="151" t="s">
        <v>443</v>
      </c>
      <c r="H60" s="153"/>
      <c r="I60" s="7"/>
      <c r="J60" s="7"/>
      <c r="K60" s="7"/>
      <c r="L60" s="7"/>
      <c r="M60" s="7"/>
      <c r="N60" s="7"/>
      <c r="O60" s="7"/>
      <c r="P60" s="7"/>
      <c r="Q60" s="7"/>
      <c r="R60" s="7"/>
      <c r="S60" s="7"/>
      <c r="T60" s="7"/>
      <c r="U60" s="7"/>
      <c r="V60" s="7"/>
      <c r="W60" s="7"/>
    </row>
    <row r="61" spans="1:23" ht="25.5">
      <c r="A61" s="151">
        <v>51</v>
      </c>
      <c r="B61" s="160" t="s">
        <v>580</v>
      </c>
      <c r="C61" s="156" t="s">
        <v>439</v>
      </c>
      <c r="D61" s="157" t="s">
        <v>444</v>
      </c>
      <c r="E61" s="157" t="s">
        <v>445</v>
      </c>
      <c r="F61" s="152" t="s">
        <v>442</v>
      </c>
      <c r="G61" s="151" t="s">
        <v>446</v>
      </c>
      <c r="H61" s="153"/>
      <c r="I61" s="7"/>
      <c r="J61" s="7"/>
      <c r="K61" s="7"/>
      <c r="L61" s="7"/>
      <c r="M61" s="7"/>
      <c r="N61" s="7"/>
      <c r="O61" s="7"/>
      <c r="P61" s="7"/>
      <c r="Q61" s="7"/>
      <c r="R61" s="7"/>
      <c r="S61" s="7"/>
      <c r="T61" s="7"/>
      <c r="U61" s="7"/>
      <c r="V61" s="7"/>
      <c r="W61" s="7"/>
    </row>
    <row r="62" spans="1:23">
      <c r="A62" s="151">
        <v>52</v>
      </c>
      <c r="B62" s="152" t="s">
        <v>632</v>
      </c>
      <c r="C62" s="156" t="s">
        <v>447</v>
      </c>
      <c r="D62" s="157" t="s">
        <v>448</v>
      </c>
      <c r="E62" s="157"/>
      <c r="F62" s="157" t="s">
        <v>449</v>
      </c>
      <c r="G62" s="151" t="s">
        <v>450</v>
      </c>
      <c r="H62" s="153"/>
      <c r="I62" s="7"/>
      <c r="J62" s="7"/>
      <c r="K62" s="7"/>
      <c r="L62" s="7"/>
      <c r="M62" s="7"/>
      <c r="N62" s="7"/>
      <c r="O62" s="7"/>
      <c r="P62" s="7"/>
      <c r="Q62" s="7"/>
      <c r="R62" s="7"/>
      <c r="S62" s="7"/>
      <c r="T62" s="7"/>
      <c r="U62" s="7"/>
      <c r="V62" s="7"/>
      <c r="W62" s="7"/>
    </row>
    <row r="63" spans="1:23">
      <c r="A63" s="151">
        <v>53</v>
      </c>
      <c r="B63" s="152"/>
      <c r="C63" s="156" t="s">
        <v>451</v>
      </c>
      <c r="D63" s="156" t="s">
        <v>452</v>
      </c>
      <c r="E63" s="156"/>
      <c r="F63" s="157"/>
      <c r="G63" s="151" t="s">
        <v>453</v>
      </c>
      <c r="H63" s="153"/>
      <c r="I63" s="7"/>
      <c r="J63" s="7"/>
      <c r="K63" s="7"/>
      <c r="L63" s="7"/>
      <c r="M63" s="7"/>
      <c r="N63" s="7"/>
      <c r="O63" s="7"/>
      <c r="P63" s="7"/>
      <c r="Q63" s="7"/>
      <c r="R63" s="7"/>
      <c r="S63" s="7"/>
      <c r="T63" s="7"/>
      <c r="U63" s="7"/>
      <c r="V63" s="7"/>
      <c r="W63" s="7"/>
    </row>
    <row r="64" spans="1:23" ht="38.25">
      <c r="A64" s="151">
        <v>54</v>
      </c>
      <c r="B64" s="160" t="s">
        <v>616</v>
      </c>
      <c r="C64" s="156" t="s">
        <v>454</v>
      </c>
      <c r="D64" s="157" t="s">
        <v>455</v>
      </c>
      <c r="E64" s="157"/>
      <c r="F64" s="157" t="s">
        <v>456</v>
      </c>
      <c r="G64" s="151" t="s">
        <v>457</v>
      </c>
      <c r="H64" s="153"/>
      <c r="I64" s="7"/>
      <c r="J64" s="7"/>
      <c r="K64" s="7"/>
      <c r="L64" s="7"/>
      <c r="M64" s="7"/>
      <c r="N64" s="7"/>
      <c r="O64" s="7"/>
      <c r="P64" s="7"/>
      <c r="Q64" s="7"/>
      <c r="R64" s="7"/>
      <c r="S64" s="7"/>
      <c r="T64" s="7"/>
      <c r="U64" s="7"/>
      <c r="V64" s="7"/>
      <c r="W64" s="7"/>
    </row>
    <row r="65" spans="1:23" ht="25.5">
      <c r="A65" s="151">
        <v>55</v>
      </c>
      <c r="B65" s="152" t="s">
        <v>584</v>
      </c>
      <c r="C65" s="156" t="s">
        <v>458</v>
      </c>
      <c r="D65" s="156" t="s">
        <v>459</v>
      </c>
      <c r="E65" s="156"/>
      <c r="F65" s="157"/>
      <c r="G65" s="151" t="s">
        <v>453</v>
      </c>
      <c r="H65" s="153"/>
      <c r="I65" s="7"/>
      <c r="J65" s="7"/>
      <c r="K65" s="7"/>
      <c r="L65" s="7"/>
      <c r="M65" s="7"/>
      <c r="N65" s="7"/>
      <c r="O65" s="7"/>
      <c r="P65" s="7"/>
      <c r="Q65" s="7"/>
      <c r="R65" s="7"/>
      <c r="S65" s="7"/>
      <c r="T65" s="7"/>
      <c r="U65" s="7"/>
      <c r="V65" s="7"/>
      <c r="W65" s="7"/>
    </row>
    <row r="66" spans="1:23" ht="51">
      <c r="A66" s="151">
        <v>56</v>
      </c>
      <c r="B66" s="160" t="s">
        <v>592</v>
      </c>
      <c r="C66" s="152" t="s">
        <v>460</v>
      </c>
      <c r="D66" s="151" t="s">
        <v>461</v>
      </c>
      <c r="E66" s="151"/>
      <c r="F66" s="151" t="s">
        <v>462</v>
      </c>
      <c r="G66" s="151" t="s">
        <v>347</v>
      </c>
      <c r="H66" s="153"/>
      <c r="I66" s="7"/>
      <c r="J66" s="7"/>
      <c r="K66" s="7"/>
      <c r="L66" s="7"/>
      <c r="M66" s="7"/>
      <c r="N66" s="7"/>
      <c r="O66" s="7"/>
      <c r="P66" s="7"/>
      <c r="Q66" s="7"/>
      <c r="R66" s="7"/>
      <c r="S66" s="7"/>
      <c r="T66" s="7"/>
      <c r="U66" s="7"/>
      <c r="V66" s="7"/>
      <c r="W66" s="7"/>
    </row>
    <row r="67" spans="1:23" ht="51">
      <c r="A67" s="151">
        <v>57</v>
      </c>
      <c r="B67" s="152" t="s">
        <v>644</v>
      </c>
      <c r="C67" s="152" t="s">
        <v>463</v>
      </c>
      <c r="D67" s="152" t="s">
        <v>464</v>
      </c>
      <c r="E67" s="152"/>
      <c r="F67" s="151"/>
      <c r="G67" s="151"/>
      <c r="H67" s="153"/>
      <c r="I67" s="7"/>
      <c r="J67" s="7"/>
      <c r="K67" s="7"/>
      <c r="L67" s="7"/>
      <c r="M67" s="7"/>
      <c r="N67" s="7"/>
      <c r="O67" s="7"/>
      <c r="P67" s="7"/>
      <c r="Q67" s="7"/>
      <c r="R67" s="7"/>
      <c r="S67" s="7"/>
      <c r="T67" s="7"/>
      <c r="U67" s="7"/>
      <c r="V67" s="7"/>
      <c r="W67" s="7"/>
    </row>
    <row r="68" spans="1:23" ht="25.5">
      <c r="A68" s="151">
        <v>58</v>
      </c>
      <c r="B68" s="160" t="s">
        <v>598</v>
      </c>
      <c r="C68" s="152" t="s">
        <v>465</v>
      </c>
      <c r="D68" s="152" t="s">
        <v>466</v>
      </c>
      <c r="E68" s="158">
        <v>3.3</v>
      </c>
      <c r="F68" s="152" t="s">
        <v>467</v>
      </c>
      <c r="G68" s="151" t="s">
        <v>468</v>
      </c>
      <c r="H68" s="153"/>
      <c r="I68" s="7"/>
      <c r="J68" s="7"/>
      <c r="K68" s="7"/>
      <c r="L68" s="7"/>
      <c r="M68" s="7"/>
      <c r="N68" s="7"/>
      <c r="O68" s="7"/>
      <c r="P68" s="7"/>
      <c r="Q68" s="7"/>
      <c r="R68" s="7"/>
      <c r="S68" s="7"/>
      <c r="T68" s="7"/>
      <c r="U68" s="7"/>
      <c r="V68" s="7"/>
      <c r="W68" s="7"/>
    </row>
    <row r="69" spans="1:23" ht="25.5">
      <c r="A69" s="151">
        <v>59</v>
      </c>
      <c r="B69" s="160" t="s">
        <v>598</v>
      </c>
      <c r="C69" s="156" t="s">
        <v>469</v>
      </c>
      <c r="D69" s="156" t="s">
        <v>470</v>
      </c>
      <c r="E69" s="159" t="s">
        <v>471</v>
      </c>
      <c r="F69" s="157" t="s">
        <v>467</v>
      </c>
      <c r="G69" s="151" t="s">
        <v>468</v>
      </c>
      <c r="H69" s="153"/>
      <c r="I69" s="7"/>
      <c r="J69" s="7"/>
      <c r="K69" s="7"/>
      <c r="L69" s="7"/>
      <c r="M69" s="7"/>
      <c r="N69" s="7"/>
      <c r="O69" s="7"/>
      <c r="P69" s="7"/>
      <c r="Q69" s="7"/>
      <c r="R69" s="7"/>
      <c r="S69" s="7"/>
      <c r="T69" s="7"/>
      <c r="U69" s="7"/>
      <c r="V69" s="7"/>
      <c r="W69" s="7"/>
    </row>
    <row r="70" spans="1:23" ht="25.5">
      <c r="A70" s="151">
        <v>60</v>
      </c>
      <c r="B70" s="160" t="s">
        <v>598</v>
      </c>
      <c r="C70" s="156" t="s">
        <v>472</v>
      </c>
      <c r="D70" s="157" t="s">
        <v>473</v>
      </c>
      <c r="E70" s="157" t="s">
        <v>474</v>
      </c>
      <c r="F70" s="157" t="s">
        <v>467</v>
      </c>
      <c r="G70" s="151" t="s">
        <v>468</v>
      </c>
      <c r="H70" s="153"/>
      <c r="I70" s="7"/>
      <c r="J70" s="7"/>
      <c r="K70" s="7"/>
      <c r="L70" s="7"/>
      <c r="M70" s="7"/>
      <c r="N70" s="7"/>
      <c r="O70" s="7"/>
      <c r="P70" s="7"/>
      <c r="Q70" s="7"/>
      <c r="R70" s="7"/>
      <c r="S70" s="7"/>
      <c r="T70" s="7"/>
      <c r="U70" s="7"/>
      <c r="V70" s="7"/>
      <c r="W70" s="7"/>
    </row>
    <row r="71" spans="1:23" ht="25.5">
      <c r="A71" s="151">
        <v>61</v>
      </c>
      <c r="B71" s="160" t="s">
        <v>598</v>
      </c>
      <c r="C71" s="156" t="s">
        <v>475</v>
      </c>
      <c r="D71" s="157" t="s">
        <v>476</v>
      </c>
      <c r="E71" s="157" t="s">
        <v>477</v>
      </c>
      <c r="F71" s="157" t="s">
        <v>467</v>
      </c>
      <c r="G71" s="151" t="s">
        <v>468</v>
      </c>
      <c r="H71" s="153"/>
      <c r="I71" s="7"/>
      <c r="J71" s="7"/>
      <c r="K71" s="7"/>
      <c r="L71" s="7"/>
      <c r="M71" s="7"/>
      <c r="N71" s="7"/>
      <c r="O71" s="7"/>
      <c r="P71" s="7"/>
      <c r="Q71" s="7"/>
      <c r="R71" s="7"/>
      <c r="S71" s="7"/>
      <c r="T71" s="7"/>
      <c r="U71" s="7"/>
      <c r="V71" s="7"/>
      <c r="W71" s="7"/>
    </row>
    <row r="72" spans="1:23">
      <c r="A72" s="151">
        <v>62</v>
      </c>
      <c r="B72" s="160" t="s">
        <v>598</v>
      </c>
      <c r="C72" s="156" t="s">
        <v>478</v>
      </c>
      <c r="D72" s="156" t="s">
        <v>479</v>
      </c>
      <c r="E72" s="156" t="s">
        <v>474</v>
      </c>
      <c r="F72" s="157" t="s">
        <v>467</v>
      </c>
      <c r="G72" s="151" t="s">
        <v>468</v>
      </c>
      <c r="H72" s="153"/>
      <c r="I72" s="7"/>
      <c r="J72" s="7"/>
      <c r="K72" s="7"/>
      <c r="L72" s="7"/>
      <c r="M72" s="7"/>
      <c r="N72" s="7"/>
      <c r="O72" s="7"/>
      <c r="P72" s="7"/>
      <c r="Q72" s="7"/>
      <c r="R72" s="7"/>
      <c r="S72" s="7"/>
      <c r="T72" s="7"/>
      <c r="U72" s="7"/>
      <c r="V72" s="7"/>
      <c r="W72" s="7"/>
    </row>
    <row r="73" spans="1:23" ht="25.5">
      <c r="A73" s="151">
        <v>63</v>
      </c>
      <c r="B73" s="160" t="s">
        <v>598</v>
      </c>
      <c r="C73" s="156" t="s">
        <v>480</v>
      </c>
      <c r="D73" s="157" t="s">
        <v>481</v>
      </c>
      <c r="E73" s="157" t="s">
        <v>482</v>
      </c>
      <c r="F73" s="157" t="s">
        <v>483</v>
      </c>
      <c r="G73" s="151" t="s">
        <v>364</v>
      </c>
      <c r="H73" s="153"/>
      <c r="I73" s="7"/>
      <c r="J73" s="7"/>
      <c r="K73" s="7"/>
      <c r="L73" s="7"/>
      <c r="M73" s="7"/>
      <c r="N73" s="7"/>
      <c r="O73" s="7"/>
      <c r="P73" s="7"/>
      <c r="Q73" s="7"/>
      <c r="R73" s="7"/>
      <c r="S73" s="7"/>
      <c r="T73" s="7"/>
      <c r="U73" s="7"/>
      <c r="V73" s="7"/>
      <c r="W73" s="7"/>
    </row>
    <row r="74" spans="1:23" ht="38.25">
      <c r="A74" s="151">
        <v>64</v>
      </c>
      <c r="B74" s="160" t="s">
        <v>633</v>
      </c>
      <c r="C74" s="152" t="s">
        <v>484</v>
      </c>
      <c r="D74" s="152" t="s">
        <v>485</v>
      </c>
      <c r="E74" s="152" t="s">
        <v>486</v>
      </c>
      <c r="F74" s="151"/>
      <c r="G74" s="151" t="s">
        <v>487</v>
      </c>
      <c r="H74" s="153"/>
      <c r="I74" s="7"/>
      <c r="J74" s="7"/>
      <c r="K74" s="7"/>
      <c r="L74" s="7"/>
      <c r="M74" s="7"/>
      <c r="N74" s="7"/>
      <c r="O74" s="7"/>
      <c r="P74" s="7"/>
      <c r="Q74" s="7"/>
      <c r="R74" s="7"/>
      <c r="S74" s="7"/>
      <c r="T74" s="7"/>
      <c r="U74" s="7"/>
      <c r="V74" s="7"/>
      <c r="W74" s="7"/>
    </row>
    <row r="75" spans="1:23">
      <c r="A75" s="147" t="s">
        <v>199</v>
      </c>
      <c r="B75" s="148"/>
      <c r="C75" s="148"/>
      <c r="D75" s="147"/>
      <c r="E75" s="147"/>
      <c r="F75" s="147"/>
      <c r="G75" s="147"/>
      <c r="H75" s="149"/>
      <c r="I75" s="6"/>
      <c r="J75" s="6"/>
      <c r="K75" s="6"/>
      <c r="L75" s="6"/>
      <c r="M75" s="6"/>
      <c r="N75" s="6"/>
      <c r="O75" s="6"/>
      <c r="P75" s="6"/>
      <c r="Q75" s="6"/>
      <c r="R75" s="6"/>
      <c r="S75" s="6"/>
      <c r="T75" s="6"/>
      <c r="U75" s="6"/>
      <c r="V75" s="6"/>
      <c r="W75" s="6"/>
    </row>
    <row r="76" spans="1:23" ht="25.5">
      <c r="A76" s="151">
        <v>65</v>
      </c>
      <c r="B76" s="152" t="s">
        <v>635</v>
      </c>
      <c r="C76" s="152" t="s">
        <v>488</v>
      </c>
      <c r="D76" s="152" t="s">
        <v>489</v>
      </c>
      <c r="E76" s="152"/>
      <c r="F76" s="151" t="s">
        <v>490</v>
      </c>
      <c r="G76" s="151"/>
      <c r="H76" s="153"/>
      <c r="I76" s="7"/>
      <c r="J76" s="7"/>
      <c r="K76" s="7"/>
      <c r="L76" s="7"/>
      <c r="M76" s="7"/>
      <c r="N76" s="7"/>
      <c r="O76" s="7"/>
      <c r="P76" s="7"/>
      <c r="Q76" s="7"/>
      <c r="R76" s="7"/>
      <c r="S76" s="7"/>
      <c r="T76" s="7"/>
      <c r="U76" s="7"/>
      <c r="V76" s="7"/>
      <c r="W76" s="7"/>
    </row>
    <row r="77" spans="1:23" ht="25.5">
      <c r="A77" s="151">
        <v>66</v>
      </c>
      <c r="B77" s="152" t="s">
        <v>642</v>
      </c>
      <c r="C77" s="152" t="s">
        <v>491</v>
      </c>
      <c r="D77" s="152" t="s">
        <v>492</v>
      </c>
      <c r="E77" s="152"/>
      <c r="F77" s="152" t="s">
        <v>449</v>
      </c>
      <c r="G77" s="151" t="s">
        <v>450</v>
      </c>
      <c r="H77" s="153"/>
      <c r="I77" s="7"/>
      <c r="J77" s="7"/>
      <c r="K77" s="7"/>
      <c r="L77" s="7"/>
      <c r="M77" s="7"/>
      <c r="N77" s="7"/>
      <c r="O77" s="7"/>
      <c r="P77" s="7"/>
      <c r="Q77" s="7"/>
      <c r="R77" s="7"/>
      <c r="S77" s="7"/>
      <c r="T77" s="7"/>
      <c r="U77" s="7"/>
      <c r="V77" s="7"/>
      <c r="W77" s="7"/>
    </row>
    <row r="78" spans="1:23" ht="38.25">
      <c r="A78" s="151">
        <v>67</v>
      </c>
      <c r="B78" s="160" t="s">
        <v>634</v>
      </c>
      <c r="C78" s="152" t="s">
        <v>493</v>
      </c>
      <c r="D78" s="152" t="s">
        <v>494</v>
      </c>
      <c r="E78" s="152" t="s">
        <v>495</v>
      </c>
      <c r="F78" s="151" t="s">
        <v>496</v>
      </c>
      <c r="G78" s="151" t="s">
        <v>497</v>
      </c>
      <c r="H78" s="153"/>
      <c r="I78" s="7"/>
      <c r="J78" s="7"/>
      <c r="K78" s="7"/>
      <c r="L78" s="7"/>
      <c r="M78" s="7"/>
      <c r="N78" s="7"/>
      <c r="O78" s="7"/>
      <c r="P78" s="7"/>
      <c r="Q78" s="7"/>
      <c r="R78" s="7"/>
      <c r="S78" s="7"/>
      <c r="T78" s="7"/>
      <c r="U78" s="7"/>
      <c r="V78" s="7"/>
      <c r="W78" s="7"/>
    </row>
    <row r="79" spans="1:23" ht="63.75">
      <c r="A79" s="151">
        <v>68</v>
      </c>
      <c r="B79" s="160" t="s">
        <v>601</v>
      </c>
      <c r="C79" s="152" t="s">
        <v>498</v>
      </c>
      <c r="D79" s="152" t="s">
        <v>499</v>
      </c>
      <c r="E79" s="152"/>
      <c r="F79" s="152" t="s">
        <v>500</v>
      </c>
      <c r="G79" s="151" t="s">
        <v>389</v>
      </c>
      <c r="H79" s="153"/>
      <c r="I79" s="7"/>
      <c r="J79" s="7"/>
      <c r="K79" s="7"/>
      <c r="L79" s="7"/>
      <c r="M79" s="7"/>
      <c r="N79" s="7"/>
      <c r="O79" s="7"/>
      <c r="P79" s="7"/>
      <c r="Q79" s="7"/>
      <c r="R79" s="7"/>
      <c r="S79" s="7"/>
      <c r="T79" s="7"/>
      <c r="U79" s="7"/>
      <c r="V79" s="7"/>
      <c r="W79" s="7"/>
    </row>
    <row r="80" spans="1:23" ht="25.5">
      <c r="A80" s="151">
        <v>69</v>
      </c>
      <c r="B80" s="160" t="s">
        <v>584</v>
      </c>
      <c r="C80" s="152" t="s">
        <v>458</v>
      </c>
      <c r="D80" s="152" t="s">
        <v>501</v>
      </c>
      <c r="E80" s="152"/>
      <c r="F80" s="150"/>
      <c r="G80" s="151" t="s">
        <v>502</v>
      </c>
      <c r="H80" s="153"/>
      <c r="I80" s="7"/>
      <c r="J80" s="7"/>
      <c r="K80" s="7"/>
      <c r="L80" s="7"/>
      <c r="M80" s="7"/>
      <c r="N80" s="7"/>
      <c r="O80" s="7"/>
      <c r="P80" s="7"/>
      <c r="Q80" s="7"/>
      <c r="R80" s="7"/>
      <c r="S80" s="7"/>
      <c r="T80" s="7"/>
      <c r="U80" s="7"/>
      <c r="V80" s="7"/>
      <c r="W80" s="7"/>
    </row>
    <row r="81" spans="1:23" ht="25.5">
      <c r="A81" s="151">
        <v>70</v>
      </c>
      <c r="B81" s="160" t="s">
        <v>585</v>
      </c>
      <c r="C81" s="152" t="s">
        <v>503</v>
      </c>
      <c r="D81" s="152" t="s">
        <v>504</v>
      </c>
      <c r="E81" s="152"/>
      <c r="F81" s="151" t="s">
        <v>505</v>
      </c>
      <c r="G81" s="151" t="s">
        <v>497</v>
      </c>
      <c r="H81" s="153"/>
      <c r="I81" s="7"/>
      <c r="J81" s="7"/>
      <c r="K81" s="7"/>
      <c r="L81" s="7"/>
      <c r="M81" s="7"/>
      <c r="N81" s="7"/>
      <c r="O81" s="7"/>
      <c r="P81" s="7"/>
      <c r="Q81" s="7"/>
      <c r="R81" s="7"/>
      <c r="S81" s="7"/>
      <c r="T81" s="7"/>
      <c r="U81" s="7"/>
      <c r="V81" s="7"/>
      <c r="W81" s="7"/>
    </row>
    <row r="82" spans="1:23">
      <c r="A82" s="147" t="s">
        <v>212</v>
      </c>
      <c r="B82" s="148"/>
      <c r="C82" s="148"/>
      <c r="D82" s="147"/>
      <c r="E82" s="147"/>
      <c r="F82" s="147"/>
      <c r="G82" s="147"/>
      <c r="H82" s="149"/>
      <c r="I82" s="6"/>
      <c r="J82" s="6"/>
      <c r="K82" s="6"/>
      <c r="L82" s="6"/>
      <c r="M82" s="6"/>
      <c r="N82" s="6"/>
      <c r="O82" s="6"/>
      <c r="P82" s="6"/>
      <c r="Q82" s="6"/>
      <c r="R82" s="6"/>
      <c r="S82" s="6"/>
      <c r="T82" s="6"/>
      <c r="U82" s="6"/>
      <c r="V82" s="6"/>
      <c r="W82" s="6"/>
    </row>
    <row r="83" spans="1:23" ht="25.5">
      <c r="A83" s="151">
        <v>71</v>
      </c>
      <c r="B83" s="152" t="s">
        <v>642</v>
      </c>
      <c r="C83" s="152" t="s">
        <v>506</v>
      </c>
      <c r="D83" s="152" t="s">
        <v>507</v>
      </c>
      <c r="E83" s="152"/>
      <c r="F83" s="151" t="s">
        <v>508</v>
      </c>
      <c r="G83" s="151" t="s">
        <v>364</v>
      </c>
      <c r="H83" s="153"/>
      <c r="I83" s="7"/>
      <c r="J83" s="7"/>
      <c r="K83" s="7"/>
      <c r="L83" s="7"/>
      <c r="M83" s="7"/>
      <c r="N83" s="7"/>
      <c r="O83" s="7"/>
      <c r="P83" s="7"/>
      <c r="Q83" s="7"/>
      <c r="R83" s="7"/>
      <c r="S83" s="7"/>
      <c r="T83" s="7"/>
      <c r="U83" s="7"/>
      <c r="V83" s="7"/>
      <c r="W83" s="7"/>
    </row>
    <row r="84" spans="1:23" ht="25.5">
      <c r="A84" s="151">
        <v>72</v>
      </c>
      <c r="B84" s="152" t="s">
        <v>642</v>
      </c>
      <c r="C84" s="152" t="s">
        <v>509</v>
      </c>
      <c r="D84" s="157"/>
      <c r="E84" s="157"/>
      <c r="F84" s="152"/>
      <c r="G84" s="151" t="s">
        <v>364</v>
      </c>
      <c r="H84" s="153"/>
      <c r="I84" s="7"/>
      <c r="J84" s="7"/>
      <c r="K84" s="7"/>
      <c r="L84" s="7"/>
      <c r="M84" s="7"/>
      <c r="N84" s="7"/>
      <c r="O84" s="7"/>
      <c r="P84" s="7"/>
      <c r="Q84" s="7"/>
      <c r="R84" s="7"/>
      <c r="S84" s="7"/>
      <c r="T84" s="7"/>
      <c r="U84" s="7"/>
      <c r="V84" s="7"/>
      <c r="W84" s="7"/>
    </row>
    <row r="85" spans="1:23" ht="51">
      <c r="A85" s="151">
        <v>73</v>
      </c>
      <c r="B85" s="160" t="s">
        <v>602</v>
      </c>
      <c r="C85" s="152" t="s">
        <v>510</v>
      </c>
      <c r="D85" s="152" t="s">
        <v>511</v>
      </c>
      <c r="E85" s="152"/>
      <c r="F85" s="151" t="s">
        <v>512</v>
      </c>
      <c r="G85" s="151" t="s">
        <v>513</v>
      </c>
      <c r="H85" s="153"/>
      <c r="I85" s="7"/>
      <c r="J85" s="7"/>
      <c r="K85" s="7"/>
      <c r="L85" s="7"/>
      <c r="M85" s="7"/>
      <c r="N85" s="7"/>
      <c r="O85" s="7"/>
      <c r="P85" s="7"/>
      <c r="Q85" s="7"/>
      <c r="R85" s="7"/>
      <c r="S85" s="7"/>
      <c r="T85" s="7"/>
      <c r="U85" s="7"/>
      <c r="V85" s="7"/>
      <c r="W85" s="7"/>
    </row>
    <row r="86" spans="1:23" ht="25.5">
      <c r="A86" s="151">
        <v>74</v>
      </c>
      <c r="B86" s="152" t="s">
        <v>642</v>
      </c>
      <c r="C86" s="152" t="s">
        <v>306</v>
      </c>
      <c r="D86" s="152" t="s">
        <v>514</v>
      </c>
      <c r="E86" s="152"/>
      <c r="F86" s="151"/>
      <c r="G86" s="151"/>
      <c r="H86" s="153"/>
      <c r="I86" s="7"/>
      <c r="J86" s="7"/>
      <c r="K86" s="7"/>
      <c r="L86" s="7"/>
      <c r="M86" s="7"/>
      <c r="N86" s="7"/>
      <c r="O86" s="7"/>
      <c r="P86" s="7"/>
      <c r="Q86" s="7"/>
      <c r="R86" s="7"/>
      <c r="S86" s="7"/>
      <c r="T86" s="7"/>
      <c r="U86" s="7"/>
      <c r="V86" s="7"/>
      <c r="W86" s="7"/>
    </row>
    <row r="87" spans="1:23" ht="25.5">
      <c r="A87" s="151">
        <v>75</v>
      </c>
      <c r="B87" s="152" t="s">
        <v>642</v>
      </c>
      <c r="C87" s="152" t="s">
        <v>306</v>
      </c>
      <c r="D87" s="152" t="s">
        <v>515</v>
      </c>
      <c r="E87" s="152"/>
      <c r="F87" s="151" t="s">
        <v>483</v>
      </c>
      <c r="G87" s="151"/>
      <c r="H87" s="153"/>
      <c r="I87" s="7"/>
      <c r="J87" s="7"/>
      <c r="K87" s="7"/>
      <c r="L87" s="7"/>
      <c r="M87" s="7"/>
      <c r="N87" s="7"/>
      <c r="O87" s="7"/>
      <c r="P87" s="7"/>
      <c r="Q87" s="7"/>
      <c r="R87" s="7"/>
      <c r="S87" s="7"/>
      <c r="T87" s="7"/>
      <c r="U87" s="7"/>
      <c r="V87" s="7"/>
      <c r="W87" s="7"/>
    </row>
    <row r="88" spans="1:23" ht="25.5">
      <c r="A88" s="151">
        <v>76</v>
      </c>
      <c r="B88" s="152" t="s">
        <v>642</v>
      </c>
      <c r="C88" s="152" t="s">
        <v>306</v>
      </c>
      <c r="D88" s="152" t="s">
        <v>516</v>
      </c>
      <c r="E88" s="152"/>
      <c r="F88" s="151"/>
      <c r="G88" s="151"/>
      <c r="H88" s="153"/>
      <c r="I88" s="7"/>
      <c r="J88" s="7"/>
      <c r="K88" s="7"/>
      <c r="L88" s="7"/>
      <c r="M88" s="7"/>
      <c r="N88" s="7"/>
      <c r="O88" s="7"/>
      <c r="P88" s="7"/>
      <c r="Q88" s="7"/>
      <c r="R88" s="7"/>
      <c r="S88" s="7"/>
      <c r="T88" s="7"/>
      <c r="U88" s="7"/>
      <c r="V88" s="7"/>
      <c r="W88" s="7"/>
    </row>
    <row r="89" spans="1:23" ht="25.5">
      <c r="A89" s="151">
        <v>77</v>
      </c>
      <c r="B89" s="160" t="s">
        <v>596</v>
      </c>
      <c r="C89" s="152" t="s">
        <v>517</v>
      </c>
      <c r="D89" s="152" t="s">
        <v>518</v>
      </c>
      <c r="E89" s="152"/>
      <c r="F89" s="151"/>
      <c r="G89" s="151" t="s">
        <v>513</v>
      </c>
      <c r="H89" s="153"/>
      <c r="I89" s="7"/>
      <c r="J89" s="7"/>
      <c r="K89" s="7"/>
      <c r="L89" s="7"/>
      <c r="M89" s="7"/>
      <c r="N89" s="7"/>
      <c r="O89" s="7"/>
      <c r="P89" s="7"/>
      <c r="Q89" s="7"/>
      <c r="R89" s="7"/>
      <c r="S89" s="7"/>
      <c r="T89" s="7"/>
      <c r="U89" s="7"/>
      <c r="V89" s="7"/>
      <c r="W89" s="7"/>
    </row>
    <row r="90" spans="1:23" ht="38.25">
      <c r="A90" s="151">
        <v>78</v>
      </c>
      <c r="B90" s="160" t="s">
        <v>599</v>
      </c>
      <c r="C90" s="152" t="s">
        <v>519</v>
      </c>
      <c r="D90" s="152" t="s">
        <v>520</v>
      </c>
      <c r="E90" s="152" t="s">
        <v>521</v>
      </c>
      <c r="F90" s="151" t="s">
        <v>435</v>
      </c>
      <c r="G90" s="151"/>
      <c r="H90" s="153"/>
      <c r="I90" s="7"/>
      <c r="J90" s="7"/>
      <c r="K90" s="7"/>
      <c r="L90" s="7"/>
      <c r="M90" s="7"/>
      <c r="N90" s="7"/>
      <c r="O90" s="7"/>
      <c r="P90" s="7"/>
      <c r="Q90" s="7"/>
      <c r="R90" s="7"/>
      <c r="S90" s="7"/>
      <c r="T90" s="7"/>
      <c r="U90" s="7"/>
      <c r="V90" s="7"/>
      <c r="W90" s="7"/>
    </row>
    <row r="91" spans="1:23">
      <c r="A91" s="151">
        <v>79</v>
      </c>
      <c r="B91" s="160" t="s">
        <v>583</v>
      </c>
      <c r="C91" s="152" t="s">
        <v>522</v>
      </c>
      <c r="D91" s="157"/>
      <c r="E91" s="157"/>
      <c r="F91" s="152"/>
      <c r="G91" s="151" t="s">
        <v>513</v>
      </c>
      <c r="H91" s="153"/>
      <c r="I91" s="7"/>
      <c r="J91" s="7"/>
      <c r="K91" s="7"/>
      <c r="L91" s="7"/>
      <c r="M91" s="7"/>
      <c r="N91" s="7"/>
      <c r="O91" s="7"/>
      <c r="P91" s="7"/>
      <c r="Q91" s="7"/>
      <c r="R91" s="7"/>
      <c r="S91" s="7"/>
      <c r="T91" s="7"/>
      <c r="U91" s="7"/>
      <c r="V91" s="7"/>
      <c r="W91" s="7"/>
    </row>
    <row r="92" spans="1:23">
      <c r="A92" s="151">
        <v>80</v>
      </c>
      <c r="B92" s="160" t="s">
        <v>614</v>
      </c>
      <c r="C92" s="152" t="s">
        <v>523</v>
      </c>
      <c r="D92" s="152" t="s">
        <v>524</v>
      </c>
      <c r="E92" s="152"/>
      <c r="F92" s="151" t="s">
        <v>525</v>
      </c>
      <c r="G92" s="151"/>
      <c r="H92" s="153"/>
      <c r="I92" s="7"/>
      <c r="J92" s="7"/>
      <c r="K92" s="7"/>
      <c r="L92" s="7"/>
      <c r="M92" s="7"/>
      <c r="N92" s="7"/>
      <c r="O92" s="7"/>
      <c r="P92" s="7"/>
      <c r="Q92" s="7"/>
      <c r="R92" s="7"/>
      <c r="S92" s="7"/>
      <c r="T92" s="7"/>
      <c r="U92" s="7"/>
      <c r="V92" s="7"/>
      <c r="W92" s="7"/>
    </row>
    <row r="93" spans="1:23" ht="51">
      <c r="A93" s="151">
        <v>81</v>
      </c>
      <c r="B93" s="152" t="s">
        <v>580</v>
      </c>
      <c r="C93" s="152" t="s">
        <v>526</v>
      </c>
      <c r="D93" s="152" t="s">
        <v>527</v>
      </c>
      <c r="E93" s="152"/>
      <c r="F93" s="151" t="s">
        <v>525</v>
      </c>
      <c r="G93" s="151"/>
      <c r="H93" s="153"/>
      <c r="I93" s="7"/>
      <c r="J93" s="7"/>
      <c r="K93" s="7"/>
      <c r="L93" s="7"/>
      <c r="M93" s="7"/>
      <c r="N93" s="7"/>
      <c r="O93" s="7"/>
      <c r="P93" s="7"/>
      <c r="Q93" s="7"/>
      <c r="R93" s="7"/>
      <c r="S93" s="7"/>
      <c r="T93" s="7"/>
      <c r="U93" s="7"/>
      <c r="V93" s="7"/>
      <c r="W93" s="7"/>
    </row>
    <row r="94" spans="1:23" ht="63.75">
      <c r="A94" s="151">
        <v>82</v>
      </c>
      <c r="B94" s="160" t="s">
        <v>597</v>
      </c>
      <c r="C94" s="152" t="s">
        <v>528</v>
      </c>
      <c r="D94" s="152" t="s">
        <v>529</v>
      </c>
      <c r="E94" s="151"/>
      <c r="F94" s="152" t="s">
        <v>366</v>
      </c>
      <c r="G94" s="151"/>
      <c r="H94" s="153"/>
      <c r="I94" s="7"/>
      <c r="J94" s="7"/>
      <c r="K94" s="7"/>
      <c r="L94" s="7"/>
      <c r="M94" s="7"/>
      <c r="N94" s="7"/>
      <c r="O94" s="7"/>
      <c r="P94" s="7"/>
      <c r="Q94" s="7"/>
      <c r="R94" s="7"/>
      <c r="S94" s="7"/>
      <c r="T94" s="7"/>
      <c r="U94" s="7"/>
      <c r="V94" s="7"/>
      <c r="W94" s="7"/>
    </row>
    <row r="95" spans="1:23" ht="25.5">
      <c r="A95" s="151">
        <v>83</v>
      </c>
      <c r="B95" s="152" t="s">
        <v>642</v>
      </c>
      <c r="C95" s="152" t="s">
        <v>306</v>
      </c>
      <c r="D95" s="152" t="s">
        <v>530</v>
      </c>
      <c r="E95" s="152"/>
      <c r="F95" s="151" t="s">
        <v>312</v>
      </c>
      <c r="G95" s="151"/>
      <c r="H95" s="153"/>
      <c r="I95" s="7"/>
      <c r="J95" s="7"/>
      <c r="K95" s="7"/>
      <c r="L95" s="7"/>
      <c r="M95" s="7"/>
      <c r="N95" s="7"/>
      <c r="O95" s="7"/>
      <c r="P95" s="7"/>
      <c r="Q95" s="7"/>
      <c r="R95" s="7"/>
      <c r="S95" s="7"/>
      <c r="T95" s="7"/>
      <c r="U95" s="7"/>
      <c r="V95" s="7"/>
      <c r="W95" s="7"/>
    </row>
    <row r="96" spans="1:23" ht="25.5">
      <c r="A96" s="151">
        <v>84</v>
      </c>
      <c r="B96" s="152" t="s">
        <v>636</v>
      </c>
      <c r="C96" s="152" t="s">
        <v>531</v>
      </c>
      <c r="D96" s="152" t="s">
        <v>532</v>
      </c>
      <c r="E96" s="152"/>
      <c r="F96" s="151" t="s">
        <v>512</v>
      </c>
      <c r="G96" s="151" t="s">
        <v>533</v>
      </c>
      <c r="H96" s="153"/>
      <c r="I96" s="7"/>
      <c r="J96" s="7"/>
      <c r="K96" s="7"/>
      <c r="L96" s="7"/>
      <c r="M96" s="7"/>
      <c r="N96" s="7"/>
      <c r="O96" s="7"/>
      <c r="P96" s="7"/>
      <c r="Q96" s="7"/>
      <c r="R96" s="7"/>
      <c r="S96" s="7"/>
      <c r="T96" s="7"/>
      <c r="U96" s="7"/>
      <c r="V96" s="7"/>
      <c r="W96" s="7"/>
    </row>
    <row r="97" spans="1:23">
      <c r="A97" s="147" t="s">
        <v>243</v>
      </c>
      <c r="B97" s="148"/>
      <c r="C97" s="148"/>
      <c r="D97" s="147"/>
      <c r="E97" s="147"/>
      <c r="F97" s="147"/>
      <c r="G97" s="147"/>
      <c r="H97" s="149"/>
      <c r="I97" s="6"/>
      <c r="J97" s="6"/>
      <c r="K97" s="6"/>
      <c r="L97" s="6"/>
      <c r="M97" s="6"/>
      <c r="N97" s="6"/>
      <c r="O97" s="6"/>
      <c r="P97" s="6"/>
      <c r="Q97" s="6"/>
      <c r="R97" s="6"/>
      <c r="S97" s="6"/>
      <c r="T97" s="6"/>
      <c r="U97" s="6"/>
      <c r="V97" s="6"/>
      <c r="W97" s="6"/>
    </row>
    <row r="98" spans="1:23">
      <c r="A98" s="151">
        <v>85</v>
      </c>
      <c r="B98" s="152"/>
      <c r="C98" s="152" t="s">
        <v>306</v>
      </c>
      <c r="D98" s="152" t="s">
        <v>534</v>
      </c>
      <c r="E98" s="152"/>
      <c r="F98" s="151" t="s">
        <v>508</v>
      </c>
      <c r="G98" s="151"/>
      <c r="H98" s="153"/>
      <c r="I98" s="7"/>
      <c r="J98" s="7"/>
      <c r="K98" s="7"/>
      <c r="L98" s="7"/>
      <c r="M98" s="7"/>
      <c r="N98" s="7"/>
      <c r="O98" s="7"/>
      <c r="P98" s="7"/>
      <c r="Q98" s="7"/>
      <c r="R98" s="7"/>
      <c r="S98" s="7"/>
      <c r="T98" s="7"/>
      <c r="U98" s="7"/>
      <c r="V98" s="7"/>
      <c r="W98" s="7"/>
    </row>
    <row r="99" spans="1:23" ht="51">
      <c r="A99" s="151">
        <v>86</v>
      </c>
      <c r="B99" s="160" t="s">
        <v>586</v>
      </c>
      <c r="C99" s="152" t="s">
        <v>535</v>
      </c>
      <c r="D99" s="152" t="s">
        <v>536</v>
      </c>
      <c r="E99" s="152"/>
      <c r="F99" s="151"/>
      <c r="G99" s="151"/>
      <c r="H99" s="153"/>
      <c r="I99" s="7"/>
      <c r="J99" s="7"/>
      <c r="K99" s="7"/>
      <c r="L99" s="7"/>
      <c r="M99" s="7"/>
      <c r="N99" s="7"/>
      <c r="O99" s="7"/>
      <c r="P99" s="7"/>
      <c r="Q99" s="7"/>
      <c r="R99" s="7"/>
      <c r="S99" s="7"/>
      <c r="T99" s="7"/>
      <c r="U99" s="7"/>
      <c r="V99" s="7"/>
      <c r="W99" s="7"/>
    </row>
    <row r="100" spans="1:23" ht="38.25">
      <c r="A100" s="151">
        <v>87</v>
      </c>
      <c r="B100" s="160" t="s">
        <v>603</v>
      </c>
      <c r="C100" s="152" t="s">
        <v>537</v>
      </c>
      <c r="D100" s="152" t="s">
        <v>538</v>
      </c>
      <c r="E100" s="152"/>
      <c r="F100" s="151" t="s">
        <v>508</v>
      </c>
      <c r="G100" s="151"/>
      <c r="H100" s="153"/>
      <c r="I100" s="7"/>
      <c r="J100" s="7"/>
      <c r="K100" s="7"/>
      <c r="L100" s="7"/>
      <c r="M100" s="7"/>
      <c r="N100" s="7"/>
      <c r="O100" s="7"/>
      <c r="P100" s="7"/>
      <c r="Q100" s="7"/>
      <c r="R100" s="7"/>
      <c r="S100" s="7"/>
      <c r="T100" s="7"/>
      <c r="U100" s="7"/>
      <c r="V100" s="7"/>
      <c r="W100" s="7"/>
    </row>
    <row r="101" spans="1:23" ht="51">
      <c r="A101" s="151">
        <v>88</v>
      </c>
      <c r="B101" s="160" t="s">
        <v>586</v>
      </c>
      <c r="C101" s="156" t="s">
        <v>539</v>
      </c>
      <c r="D101" s="152" t="s">
        <v>540</v>
      </c>
      <c r="E101" s="152"/>
      <c r="F101" s="157" t="s">
        <v>508</v>
      </c>
      <c r="G101" s="151"/>
      <c r="H101" s="153"/>
      <c r="I101" s="7"/>
      <c r="J101" s="7"/>
      <c r="K101" s="7"/>
      <c r="L101" s="7"/>
      <c r="M101" s="7"/>
      <c r="N101" s="7"/>
      <c r="O101" s="7"/>
      <c r="P101" s="7"/>
      <c r="Q101" s="7"/>
      <c r="R101" s="7"/>
      <c r="S101" s="7"/>
      <c r="T101" s="7"/>
      <c r="U101" s="7"/>
      <c r="V101" s="7"/>
      <c r="W101" s="7"/>
    </row>
    <row r="102" spans="1:23" ht="51">
      <c r="A102" s="151">
        <v>89</v>
      </c>
      <c r="B102" s="160" t="s">
        <v>582</v>
      </c>
      <c r="C102" s="156" t="s">
        <v>539</v>
      </c>
      <c r="D102" s="152" t="s">
        <v>540</v>
      </c>
      <c r="E102" s="152"/>
      <c r="F102" s="157" t="s">
        <v>508</v>
      </c>
      <c r="G102" s="151"/>
      <c r="H102" s="153"/>
      <c r="I102" s="7"/>
      <c r="J102" s="7"/>
      <c r="K102" s="7"/>
      <c r="L102" s="7"/>
      <c r="M102" s="7"/>
      <c r="N102" s="7"/>
      <c r="O102" s="7"/>
      <c r="P102" s="7"/>
      <c r="Q102" s="7"/>
      <c r="R102" s="7"/>
      <c r="S102" s="7"/>
      <c r="T102" s="7"/>
      <c r="U102" s="7"/>
      <c r="V102" s="7"/>
      <c r="W102" s="7"/>
    </row>
    <row r="103" spans="1:23" ht="51">
      <c r="A103" s="151">
        <v>90</v>
      </c>
      <c r="B103" s="160" t="s">
        <v>582</v>
      </c>
      <c r="C103" s="156" t="s">
        <v>539</v>
      </c>
      <c r="D103" s="152" t="s">
        <v>540</v>
      </c>
      <c r="E103" s="152"/>
      <c r="F103" s="157" t="s">
        <v>508</v>
      </c>
      <c r="G103" s="151"/>
      <c r="H103" s="153"/>
      <c r="I103" s="7"/>
      <c r="J103" s="7"/>
      <c r="K103" s="7"/>
      <c r="L103" s="7"/>
      <c r="M103" s="7"/>
      <c r="N103" s="7"/>
      <c r="O103" s="7"/>
      <c r="P103" s="7"/>
      <c r="Q103" s="7"/>
      <c r="R103" s="7"/>
      <c r="S103" s="7"/>
      <c r="T103" s="7"/>
      <c r="U103" s="7"/>
      <c r="V103" s="7"/>
      <c r="W103" s="7"/>
    </row>
    <row r="104" spans="1:23">
      <c r="A104" s="147" t="s">
        <v>255</v>
      </c>
      <c r="B104" s="148"/>
      <c r="C104" s="148"/>
      <c r="D104" s="147"/>
      <c r="E104" s="147"/>
      <c r="F104" s="147"/>
      <c r="G104" s="147"/>
      <c r="H104" s="149"/>
      <c r="I104" s="6"/>
      <c r="J104" s="6"/>
      <c r="K104" s="6"/>
      <c r="L104" s="6"/>
      <c r="M104" s="6"/>
      <c r="N104" s="6"/>
      <c r="O104" s="6"/>
      <c r="P104" s="6"/>
      <c r="Q104" s="6"/>
      <c r="R104" s="6"/>
      <c r="S104" s="6"/>
      <c r="T104" s="6"/>
      <c r="U104" s="6"/>
      <c r="V104" s="6"/>
      <c r="W104" s="6"/>
    </row>
    <row r="105" spans="1:23" ht="38.25">
      <c r="A105" s="151">
        <v>91</v>
      </c>
      <c r="B105" s="160" t="s">
        <v>587</v>
      </c>
      <c r="C105" s="152" t="s">
        <v>541</v>
      </c>
      <c r="D105" s="152" t="s">
        <v>542</v>
      </c>
      <c r="E105" s="152" t="s">
        <v>543</v>
      </c>
      <c r="F105" s="152" t="s">
        <v>544</v>
      </c>
      <c r="G105" s="151" t="s">
        <v>545</v>
      </c>
      <c r="H105" s="153"/>
      <c r="I105" s="7"/>
      <c r="J105" s="7"/>
      <c r="K105" s="7"/>
      <c r="L105" s="7"/>
      <c r="M105" s="7"/>
      <c r="N105" s="7"/>
      <c r="O105" s="7"/>
      <c r="P105" s="7"/>
      <c r="Q105" s="7"/>
      <c r="R105" s="7"/>
      <c r="S105" s="7"/>
      <c r="T105" s="7"/>
      <c r="U105" s="7"/>
      <c r="V105" s="7"/>
      <c r="W105" s="7"/>
    </row>
    <row r="106" spans="1:23" ht="102">
      <c r="A106" s="151">
        <v>92</v>
      </c>
      <c r="B106" s="160" t="s">
        <v>637</v>
      </c>
      <c r="C106" s="152" t="s">
        <v>546</v>
      </c>
      <c r="D106" s="152" t="s">
        <v>547</v>
      </c>
      <c r="E106" s="151"/>
      <c r="F106" s="151" t="s">
        <v>548</v>
      </c>
      <c r="G106" s="151" t="s">
        <v>545</v>
      </c>
      <c r="H106" s="153"/>
      <c r="I106" s="7"/>
      <c r="J106" s="7"/>
      <c r="K106" s="7"/>
      <c r="L106" s="7"/>
      <c r="M106" s="7"/>
      <c r="N106" s="7"/>
      <c r="O106" s="7"/>
      <c r="P106" s="7"/>
      <c r="Q106" s="7"/>
      <c r="R106" s="7"/>
      <c r="S106" s="7"/>
      <c r="T106" s="7"/>
      <c r="U106" s="7"/>
      <c r="V106" s="7"/>
      <c r="W106" s="7"/>
    </row>
    <row r="107" spans="1:23">
      <c r="A107" s="147" t="s">
        <v>549</v>
      </c>
      <c r="B107" s="148"/>
      <c r="C107" s="148"/>
      <c r="D107" s="147"/>
      <c r="E107" s="147"/>
      <c r="F107" s="147"/>
      <c r="G107" s="147"/>
      <c r="H107" s="149"/>
      <c r="I107" s="6"/>
      <c r="J107" s="6"/>
      <c r="K107" s="6"/>
      <c r="L107" s="6"/>
      <c r="M107" s="6"/>
      <c r="N107" s="6"/>
      <c r="O107" s="6"/>
      <c r="P107" s="6"/>
      <c r="Q107" s="6"/>
      <c r="R107" s="6"/>
      <c r="S107" s="6"/>
      <c r="T107" s="6"/>
      <c r="U107" s="6"/>
      <c r="V107" s="6"/>
      <c r="W107" s="6"/>
    </row>
    <row r="108" spans="1:23" ht="25.5">
      <c r="A108" s="151">
        <v>93</v>
      </c>
      <c r="B108" s="152" t="s">
        <v>642</v>
      </c>
      <c r="C108" s="152" t="s">
        <v>550</v>
      </c>
      <c r="D108" s="152" t="s">
        <v>551</v>
      </c>
      <c r="E108" s="152"/>
      <c r="F108" s="151" t="s">
        <v>552</v>
      </c>
      <c r="G108" s="151" t="s">
        <v>450</v>
      </c>
      <c r="H108" s="153"/>
      <c r="I108" s="7"/>
      <c r="J108" s="7"/>
      <c r="K108" s="7"/>
      <c r="L108" s="7"/>
      <c r="M108" s="7"/>
      <c r="N108" s="7"/>
      <c r="O108" s="7"/>
      <c r="P108" s="7"/>
      <c r="Q108" s="7"/>
      <c r="R108" s="7"/>
      <c r="S108" s="7"/>
      <c r="T108" s="7"/>
      <c r="U108" s="7"/>
      <c r="V108" s="7"/>
      <c r="W108" s="7"/>
    </row>
    <row r="109" spans="1:23">
      <c r="A109" s="147" t="s">
        <v>265</v>
      </c>
      <c r="B109" s="148"/>
      <c r="C109" s="148"/>
      <c r="D109" s="147"/>
      <c r="E109" s="147"/>
      <c r="F109" s="147"/>
      <c r="G109" s="147"/>
      <c r="H109" s="149"/>
      <c r="I109" s="6"/>
      <c r="J109" s="6"/>
      <c r="K109" s="6"/>
      <c r="L109" s="6"/>
      <c r="M109" s="6"/>
      <c r="N109" s="6"/>
      <c r="O109" s="6"/>
      <c r="P109" s="6"/>
      <c r="Q109" s="6"/>
      <c r="R109" s="6"/>
      <c r="S109" s="6"/>
      <c r="T109" s="6"/>
      <c r="U109" s="6"/>
      <c r="V109" s="6"/>
      <c r="W109" s="6"/>
    </row>
    <row r="110" spans="1:23" ht="25.5">
      <c r="A110" s="151">
        <v>94</v>
      </c>
      <c r="B110" s="152" t="s">
        <v>642</v>
      </c>
      <c r="C110" s="152" t="s">
        <v>553</v>
      </c>
      <c r="D110" s="152" t="s">
        <v>554</v>
      </c>
      <c r="E110" s="152"/>
      <c r="F110" s="152"/>
      <c r="G110" s="151"/>
      <c r="H110" s="153"/>
      <c r="I110" s="7"/>
      <c r="J110" s="7"/>
      <c r="K110" s="7"/>
      <c r="L110" s="7"/>
      <c r="M110" s="7"/>
      <c r="N110" s="7"/>
      <c r="O110" s="7"/>
      <c r="P110" s="7"/>
      <c r="Q110" s="7"/>
      <c r="R110" s="7"/>
      <c r="S110" s="7"/>
      <c r="T110" s="7"/>
      <c r="U110" s="7"/>
      <c r="V110" s="7"/>
      <c r="W110" s="7"/>
    </row>
    <row r="111" spans="1:23" ht="25.5">
      <c r="A111" s="151">
        <v>95</v>
      </c>
      <c r="B111" s="152" t="s">
        <v>638</v>
      </c>
      <c r="C111" s="152" t="s">
        <v>555</v>
      </c>
      <c r="D111" s="152" t="s">
        <v>556</v>
      </c>
      <c r="E111" s="152"/>
      <c r="F111" s="151"/>
      <c r="G111" s="151"/>
      <c r="H111" s="153"/>
      <c r="I111" s="7"/>
      <c r="J111" s="7"/>
      <c r="K111" s="7"/>
      <c r="L111" s="7"/>
      <c r="M111" s="7"/>
      <c r="N111" s="7"/>
      <c r="O111" s="7"/>
      <c r="P111" s="7"/>
      <c r="Q111" s="7"/>
      <c r="R111" s="7"/>
      <c r="S111" s="7"/>
      <c r="T111" s="7"/>
      <c r="U111" s="7"/>
      <c r="V111" s="7"/>
      <c r="W111" s="7"/>
    </row>
    <row r="112" spans="1:23" ht="25.5">
      <c r="A112" s="151">
        <v>96</v>
      </c>
      <c r="B112" s="160" t="s">
        <v>588</v>
      </c>
      <c r="C112" s="152" t="s">
        <v>557</v>
      </c>
      <c r="D112" s="152" t="s">
        <v>558</v>
      </c>
      <c r="E112" s="152"/>
      <c r="F112" s="152" t="s">
        <v>559</v>
      </c>
      <c r="G112" s="151"/>
      <c r="H112" s="153"/>
      <c r="I112" s="7"/>
      <c r="J112" s="7"/>
      <c r="K112" s="7"/>
      <c r="L112" s="7"/>
      <c r="M112" s="7"/>
      <c r="N112" s="7"/>
      <c r="O112" s="7"/>
      <c r="P112" s="7"/>
      <c r="Q112" s="7"/>
      <c r="R112" s="7"/>
      <c r="S112" s="7"/>
      <c r="T112" s="7"/>
      <c r="U112" s="7"/>
      <c r="V112" s="7"/>
      <c r="W112" s="7"/>
    </row>
    <row r="113" spans="1:23" ht="25.5">
      <c r="A113" s="151">
        <v>97</v>
      </c>
      <c r="B113" s="152" t="s">
        <v>642</v>
      </c>
      <c r="C113" s="152" t="s">
        <v>306</v>
      </c>
      <c r="D113" s="152" t="s">
        <v>560</v>
      </c>
      <c r="E113" s="152"/>
      <c r="F113" s="151" t="s">
        <v>561</v>
      </c>
      <c r="G113" s="151"/>
      <c r="H113" s="153"/>
      <c r="I113" s="7"/>
      <c r="J113" s="7"/>
      <c r="K113" s="7"/>
      <c r="L113" s="7"/>
      <c r="M113" s="7"/>
      <c r="N113" s="7"/>
      <c r="O113" s="7"/>
      <c r="P113" s="7"/>
      <c r="Q113" s="7"/>
      <c r="R113" s="7"/>
      <c r="S113" s="7"/>
      <c r="T113" s="7"/>
      <c r="U113" s="7"/>
      <c r="V113" s="7"/>
      <c r="W113" s="7"/>
    </row>
    <row r="114" spans="1:23" ht="38.25">
      <c r="A114" s="151">
        <v>98</v>
      </c>
      <c r="B114" s="160" t="s">
        <v>604</v>
      </c>
      <c r="C114" s="152" t="s">
        <v>562</v>
      </c>
      <c r="D114" s="152" t="s">
        <v>563</v>
      </c>
      <c r="E114" s="152"/>
      <c r="F114" s="151"/>
      <c r="G114" s="151"/>
      <c r="H114" s="153"/>
      <c r="I114" s="7"/>
      <c r="J114" s="7"/>
      <c r="K114" s="7"/>
      <c r="L114" s="7"/>
      <c r="M114" s="7"/>
      <c r="N114" s="7"/>
      <c r="O114" s="7"/>
      <c r="P114" s="7"/>
      <c r="Q114" s="7"/>
      <c r="R114" s="7"/>
      <c r="S114" s="7"/>
      <c r="T114" s="7"/>
      <c r="U114" s="7"/>
      <c r="V114" s="7"/>
      <c r="W114" s="7"/>
    </row>
    <row r="115" spans="1:23" ht="51">
      <c r="A115" s="151">
        <v>99</v>
      </c>
      <c r="B115" s="160" t="s">
        <v>605</v>
      </c>
      <c r="C115" s="152" t="s">
        <v>564</v>
      </c>
      <c r="D115" s="152" t="s">
        <v>565</v>
      </c>
      <c r="E115" s="152"/>
      <c r="F115" s="151" t="s">
        <v>566</v>
      </c>
      <c r="G115" s="151"/>
      <c r="H115" s="153"/>
      <c r="I115" s="7"/>
      <c r="J115" s="7"/>
      <c r="K115" s="7"/>
      <c r="L115" s="7"/>
      <c r="M115" s="7"/>
      <c r="N115" s="7"/>
      <c r="O115" s="7"/>
      <c r="P115" s="7"/>
      <c r="Q115" s="7"/>
      <c r="R115" s="7"/>
      <c r="S115" s="7"/>
      <c r="T115" s="7"/>
      <c r="U115" s="7"/>
      <c r="V115" s="7"/>
      <c r="W115" s="7"/>
    </row>
    <row r="116" spans="1:23" ht="25.5">
      <c r="A116" s="151">
        <v>100</v>
      </c>
      <c r="B116" s="160" t="s">
        <v>600</v>
      </c>
      <c r="C116" s="152" t="s">
        <v>567</v>
      </c>
      <c r="D116" s="152" t="s">
        <v>568</v>
      </c>
      <c r="E116" s="152"/>
      <c r="F116" s="152" t="s">
        <v>569</v>
      </c>
      <c r="G116" s="151"/>
      <c r="H116" s="153"/>
      <c r="I116" s="7"/>
      <c r="J116" s="7"/>
      <c r="K116" s="7"/>
      <c r="L116" s="7"/>
      <c r="M116" s="7"/>
      <c r="N116" s="7"/>
      <c r="O116" s="7"/>
      <c r="P116" s="7"/>
      <c r="Q116" s="7"/>
      <c r="R116" s="7"/>
      <c r="S116" s="7"/>
      <c r="T116" s="7"/>
      <c r="U116" s="7"/>
      <c r="V116" s="7"/>
      <c r="W116" s="7"/>
    </row>
    <row r="117" spans="1:23" ht="38.25">
      <c r="A117" s="151">
        <v>101</v>
      </c>
      <c r="B117" s="160" t="s">
        <v>581</v>
      </c>
      <c r="C117" s="152" t="s">
        <v>570</v>
      </c>
      <c r="D117" s="152" t="s">
        <v>571</v>
      </c>
      <c r="E117" s="152" t="s">
        <v>474</v>
      </c>
      <c r="F117" s="151"/>
      <c r="G117" s="151"/>
      <c r="H117" s="153"/>
      <c r="I117" s="7"/>
      <c r="J117" s="7"/>
      <c r="K117" s="7"/>
      <c r="L117" s="7"/>
      <c r="M117" s="7"/>
      <c r="N117" s="7"/>
      <c r="O117" s="7"/>
      <c r="P117" s="7"/>
      <c r="Q117" s="7"/>
      <c r="R117" s="7"/>
      <c r="S117" s="7"/>
      <c r="T117" s="7"/>
      <c r="U117" s="7"/>
      <c r="V117" s="7"/>
      <c r="W117" s="7"/>
    </row>
    <row r="118" spans="1:23">
      <c r="A118" s="7"/>
      <c r="B118" s="8"/>
      <c r="C118" s="8"/>
      <c r="D118" s="7"/>
      <c r="E118" s="7"/>
      <c r="F118" s="7"/>
      <c r="G118" s="7"/>
      <c r="H118" s="143"/>
      <c r="I118" s="7"/>
      <c r="J118" s="7"/>
      <c r="K118" s="7"/>
      <c r="L118" s="7"/>
      <c r="M118" s="7"/>
      <c r="N118" s="7"/>
      <c r="O118" s="7"/>
      <c r="P118" s="7"/>
      <c r="Q118" s="7"/>
      <c r="R118" s="7"/>
      <c r="S118" s="7"/>
      <c r="T118" s="7"/>
      <c r="U118" s="7"/>
      <c r="V118" s="7"/>
      <c r="W118" s="7"/>
    </row>
    <row r="119" spans="1:23">
      <c r="A119" s="7"/>
      <c r="B119" s="8"/>
      <c r="C119" s="8"/>
      <c r="D119" s="7"/>
      <c r="E119" s="7"/>
      <c r="F119" s="7"/>
      <c r="G119" s="7"/>
      <c r="H119" s="143"/>
      <c r="I119" s="7"/>
      <c r="J119" s="7"/>
      <c r="K119" s="7"/>
      <c r="L119" s="7"/>
      <c r="M119" s="7"/>
      <c r="N119" s="7"/>
      <c r="O119" s="7"/>
      <c r="P119" s="7"/>
      <c r="Q119" s="7"/>
      <c r="R119" s="7"/>
      <c r="S119" s="7"/>
      <c r="T119" s="7"/>
      <c r="U119" s="7"/>
      <c r="V119" s="7"/>
      <c r="W119" s="7"/>
    </row>
    <row r="120" spans="1:23">
      <c r="A120" s="7"/>
      <c r="B120" s="8"/>
      <c r="C120" s="8"/>
      <c r="D120" s="7"/>
      <c r="E120" s="7"/>
      <c r="F120" s="7"/>
      <c r="G120" s="7"/>
      <c r="H120" s="143"/>
      <c r="I120" s="7"/>
      <c r="J120" s="7"/>
      <c r="K120" s="7"/>
      <c r="L120" s="7"/>
      <c r="M120" s="7"/>
      <c r="N120" s="7"/>
      <c r="O120" s="7"/>
      <c r="P120" s="7"/>
      <c r="Q120" s="7"/>
      <c r="R120" s="7"/>
      <c r="S120" s="7"/>
      <c r="T120" s="7"/>
      <c r="U120" s="7"/>
      <c r="V120" s="7"/>
      <c r="W120" s="7"/>
    </row>
    <row r="121" spans="1:23">
      <c r="A121" s="7"/>
      <c r="B121" s="8"/>
      <c r="C121" s="8"/>
      <c r="D121" s="7"/>
      <c r="E121" s="7"/>
      <c r="F121" s="7"/>
      <c r="G121" s="7"/>
      <c r="H121" s="143"/>
      <c r="I121" s="7"/>
      <c r="J121" s="7"/>
      <c r="K121" s="7"/>
      <c r="L121" s="7"/>
      <c r="M121" s="7"/>
      <c r="N121" s="7"/>
      <c r="O121" s="7"/>
      <c r="P121" s="7"/>
      <c r="Q121" s="7"/>
      <c r="R121" s="7"/>
      <c r="S121" s="7"/>
      <c r="T121" s="7"/>
      <c r="U121" s="7"/>
      <c r="V121" s="7"/>
      <c r="W121" s="7"/>
    </row>
    <row r="122" spans="1:23">
      <c r="A122" s="7"/>
      <c r="B122" s="8"/>
      <c r="C122" s="8"/>
      <c r="D122" s="7"/>
      <c r="E122" s="7"/>
      <c r="F122" s="7"/>
      <c r="G122" s="7"/>
      <c r="H122" s="143"/>
      <c r="I122" s="7"/>
      <c r="J122" s="7"/>
      <c r="K122" s="7"/>
      <c r="L122" s="7"/>
      <c r="M122" s="7"/>
      <c r="N122" s="7"/>
      <c r="O122" s="7"/>
      <c r="P122" s="7"/>
      <c r="Q122" s="7"/>
      <c r="R122" s="7"/>
      <c r="S122" s="7"/>
      <c r="T122" s="7"/>
      <c r="U122" s="7"/>
      <c r="V122" s="7"/>
      <c r="W122" s="7"/>
    </row>
    <row r="123" spans="1:23">
      <c r="A123" s="7"/>
      <c r="B123" s="8"/>
      <c r="C123" s="8"/>
      <c r="D123" s="7"/>
      <c r="E123" s="7"/>
      <c r="F123" s="7"/>
      <c r="G123" s="7"/>
      <c r="H123" s="143"/>
      <c r="I123" s="7"/>
      <c r="J123" s="7"/>
      <c r="K123" s="7"/>
      <c r="L123" s="7"/>
      <c r="M123" s="7"/>
      <c r="N123" s="7"/>
      <c r="O123" s="7"/>
      <c r="P123" s="7"/>
      <c r="Q123" s="7"/>
      <c r="R123" s="7"/>
      <c r="S123" s="7"/>
      <c r="T123" s="7"/>
      <c r="U123" s="7"/>
      <c r="V123" s="7"/>
      <c r="W123" s="7"/>
    </row>
    <row r="124" spans="1:23">
      <c r="A124" s="7"/>
      <c r="B124" s="8"/>
      <c r="C124" s="8"/>
      <c r="D124" s="7"/>
      <c r="E124" s="7"/>
      <c r="F124" s="7"/>
      <c r="G124" s="7"/>
      <c r="H124" s="143"/>
      <c r="I124" s="7"/>
      <c r="J124" s="7"/>
      <c r="K124" s="7"/>
      <c r="L124" s="7"/>
      <c r="M124" s="7"/>
      <c r="N124" s="7"/>
      <c r="O124" s="7"/>
      <c r="P124" s="7"/>
      <c r="Q124" s="7"/>
      <c r="R124" s="7"/>
      <c r="S124" s="7"/>
      <c r="T124" s="7"/>
      <c r="U124" s="7"/>
      <c r="V124" s="7"/>
      <c r="W124" s="7"/>
    </row>
    <row r="125" spans="1:23">
      <c r="A125" s="7"/>
      <c r="B125" s="8"/>
      <c r="C125" s="8"/>
      <c r="D125" s="7"/>
      <c r="E125" s="7"/>
      <c r="F125" s="7"/>
      <c r="G125" s="7"/>
      <c r="H125" s="143"/>
      <c r="I125" s="7"/>
      <c r="J125" s="7"/>
      <c r="K125" s="7"/>
      <c r="L125" s="7"/>
      <c r="M125" s="7"/>
      <c r="N125" s="7"/>
      <c r="O125" s="7"/>
      <c r="P125" s="7"/>
      <c r="Q125" s="7"/>
      <c r="R125" s="7"/>
      <c r="S125" s="7"/>
      <c r="T125" s="7"/>
      <c r="U125" s="7"/>
      <c r="V125" s="7"/>
      <c r="W125" s="7"/>
    </row>
    <row r="126" spans="1:23">
      <c r="A126" s="7"/>
      <c r="B126" s="8"/>
      <c r="C126" s="8"/>
      <c r="D126" s="7"/>
      <c r="E126" s="7"/>
      <c r="F126" s="7"/>
      <c r="G126" s="7"/>
      <c r="H126" s="143"/>
      <c r="I126" s="7"/>
      <c r="J126" s="7"/>
      <c r="K126" s="7"/>
      <c r="L126" s="7"/>
      <c r="M126" s="7"/>
      <c r="N126" s="7"/>
      <c r="O126" s="7"/>
      <c r="P126" s="7"/>
      <c r="Q126" s="7"/>
      <c r="R126" s="7"/>
      <c r="S126" s="7"/>
      <c r="T126" s="7"/>
      <c r="U126" s="7"/>
      <c r="V126" s="7"/>
      <c r="W126" s="7"/>
    </row>
    <row r="127" spans="1:23">
      <c r="A127" s="7"/>
      <c r="B127" s="8"/>
      <c r="C127" s="8"/>
      <c r="D127" s="7"/>
      <c r="E127" s="7"/>
      <c r="F127" s="7"/>
      <c r="G127" s="7"/>
      <c r="H127" s="143"/>
      <c r="I127" s="7"/>
      <c r="J127" s="7"/>
      <c r="K127" s="7"/>
      <c r="L127" s="7"/>
      <c r="M127" s="7"/>
      <c r="N127" s="7"/>
      <c r="O127" s="7"/>
      <c r="P127" s="7"/>
      <c r="Q127" s="7"/>
      <c r="R127" s="7"/>
      <c r="S127" s="7"/>
      <c r="T127" s="7"/>
      <c r="U127" s="7"/>
      <c r="V127" s="7"/>
      <c r="W127" s="7"/>
    </row>
    <row r="128" spans="1:23">
      <c r="A128" s="7"/>
      <c r="B128" s="8"/>
      <c r="C128" s="8"/>
      <c r="D128" s="7"/>
      <c r="E128" s="7"/>
      <c r="F128" s="7"/>
      <c r="G128" s="7"/>
      <c r="H128" s="143"/>
      <c r="I128" s="7"/>
      <c r="J128" s="7"/>
      <c r="K128" s="7"/>
      <c r="L128" s="7"/>
      <c r="M128" s="7"/>
      <c r="N128" s="7"/>
      <c r="O128" s="7"/>
      <c r="P128" s="7"/>
      <c r="Q128" s="7"/>
      <c r="R128" s="7"/>
      <c r="S128" s="7"/>
      <c r="T128" s="7"/>
      <c r="U128" s="7"/>
      <c r="V128" s="7"/>
      <c r="W128" s="7"/>
    </row>
    <row r="129" spans="1:23">
      <c r="A129" s="7"/>
      <c r="B129" s="8"/>
      <c r="C129" s="8"/>
      <c r="D129" s="7"/>
      <c r="E129" s="7"/>
      <c r="F129" s="7"/>
      <c r="G129" s="7"/>
      <c r="H129" s="143"/>
      <c r="I129" s="7"/>
      <c r="J129" s="7"/>
      <c r="K129" s="7"/>
      <c r="L129" s="7"/>
      <c r="M129" s="7"/>
      <c r="N129" s="7"/>
      <c r="O129" s="7"/>
      <c r="P129" s="7"/>
      <c r="Q129" s="7"/>
      <c r="R129" s="7"/>
      <c r="S129" s="7"/>
      <c r="T129" s="7"/>
      <c r="U129" s="7"/>
      <c r="V129" s="7"/>
      <c r="W129" s="7"/>
    </row>
    <row r="130" spans="1:23">
      <c r="A130" s="7"/>
      <c r="B130" s="8"/>
      <c r="C130" s="8"/>
      <c r="D130" s="7"/>
      <c r="E130" s="7"/>
      <c r="F130" s="7"/>
      <c r="G130" s="7"/>
      <c r="H130" s="143"/>
      <c r="I130" s="7"/>
      <c r="J130" s="7"/>
      <c r="K130" s="7"/>
      <c r="L130" s="7"/>
      <c r="M130" s="7"/>
      <c r="N130" s="7"/>
      <c r="O130" s="7"/>
      <c r="P130" s="7"/>
      <c r="Q130" s="7"/>
      <c r="R130" s="7"/>
      <c r="S130" s="7"/>
      <c r="T130" s="7"/>
      <c r="U130" s="7"/>
      <c r="V130" s="7"/>
      <c r="W130" s="7"/>
    </row>
    <row r="131" spans="1:23">
      <c r="A131" s="7"/>
      <c r="B131" s="8"/>
      <c r="C131" s="8"/>
      <c r="D131" s="7"/>
      <c r="E131" s="7"/>
      <c r="F131" s="7"/>
      <c r="G131" s="7"/>
      <c r="H131" s="143"/>
      <c r="I131" s="7"/>
      <c r="J131" s="7"/>
      <c r="K131" s="7"/>
      <c r="L131" s="7"/>
      <c r="M131" s="7"/>
      <c r="N131" s="7"/>
      <c r="O131" s="7"/>
      <c r="P131" s="7"/>
      <c r="Q131" s="7"/>
      <c r="R131" s="7"/>
      <c r="S131" s="7"/>
      <c r="T131" s="7"/>
      <c r="U131" s="7"/>
      <c r="V131" s="7"/>
      <c r="W131" s="7"/>
    </row>
    <row r="132" spans="1:23">
      <c r="A132" s="7"/>
      <c r="B132" s="8"/>
      <c r="C132" s="8"/>
      <c r="D132" s="7"/>
      <c r="E132" s="7"/>
      <c r="F132" s="7"/>
      <c r="G132" s="7"/>
      <c r="H132" s="143"/>
      <c r="I132" s="7"/>
      <c r="J132" s="7"/>
      <c r="K132" s="7"/>
      <c r="L132" s="7"/>
      <c r="M132" s="7"/>
      <c r="N132" s="7"/>
      <c r="O132" s="7"/>
      <c r="P132" s="7"/>
      <c r="Q132" s="7"/>
      <c r="R132" s="7"/>
      <c r="S132" s="7"/>
      <c r="T132" s="7"/>
      <c r="U132" s="7"/>
      <c r="V132" s="7"/>
      <c r="W132" s="7"/>
    </row>
    <row r="133" spans="1:23">
      <c r="A133" s="7"/>
      <c r="B133" s="8"/>
      <c r="C133" s="8"/>
      <c r="D133" s="7"/>
      <c r="E133" s="7"/>
      <c r="F133" s="7"/>
      <c r="G133" s="7"/>
      <c r="H133" s="143"/>
      <c r="I133" s="7"/>
      <c r="J133" s="7"/>
      <c r="K133" s="7"/>
      <c r="L133" s="7"/>
      <c r="M133" s="7"/>
      <c r="N133" s="7"/>
      <c r="O133" s="7"/>
      <c r="P133" s="7"/>
      <c r="Q133" s="7"/>
      <c r="R133" s="7"/>
      <c r="S133" s="7"/>
      <c r="T133" s="7"/>
      <c r="U133" s="7"/>
      <c r="V133" s="7"/>
      <c r="W133" s="7"/>
    </row>
    <row r="134" spans="1:23">
      <c r="A134" s="7"/>
      <c r="B134" s="8"/>
      <c r="C134" s="8"/>
      <c r="D134" s="7"/>
      <c r="E134" s="7"/>
      <c r="F134" s="7"/>
      <c r="G134" s="7"/>
      <c r="H134" s="143"/>
      <c r="I134" s="7"/>
      <c r="J134" s="7"/>
      <c r="K134" s="7"/>
      <c r="L134" s="7"/>
      <c r="M134" s="7"/>
      <c r="N134" s="7"/>
      <c r="O134" s="7"/>
      <c r="P134" s="7"/>
      <c r="Q134" s="7"/>
      <c r="R134" s="7"/>
      <c r="S134" s="7"/>
      <c r="T134" s="7"/>
      <c r="U134" s="7"/>
      <c r="V134" s="7"/>
      <c r="W134" s="7"/>
    </row>
    <row r="135" spans="1:23">
      <c r="A135" s="7"/>
      <c r="B135" s="8"/>
      <c r="C135" s="8"/>
      <c r="D135" s="7"/>
      <c r="E135" s="7"/>
      <c r="F135" s="7"/>
      <c r="G135" s="7"/>
      <c r="H135" s="143"/>
      <c r="I135" s="7"/>
      <c r="J135" s="7"/>
      <c r="K135" s="7"/>
      <c r="L135" s="7"/>
      <c r="M135" s="7"/>
      <c r="N135" s="7"/>
      <c r="O135" s="7"/>
      <c r="P135" s="7"/>
      <c r="Q135" s="7"/>
      <c r="R135" s="7"/>
      <c r="S135" s="7"/>
      <c r="T135" s="7"/>
      <c r="U135" s="7"/>
      <c r="V135" s="7"/>
      <c r="W135" s="7"/>
    </row>
    <row r="136" spans="1:23">
      <c r="A136" s="7"/>
      <c r="B136" s="8"/>
      <c r="C136" s="8"/>
      <c r="D136" s="7"/>
      <c r="E136" s="7"/>
      <c r="F136" s="7"/>
      <c r="G136" s="7"/>
      <c r="H136" s="143"/>
      <c r="I136" s="7"/>
      <c r="J136" s="7"/>
      <c r="K136" s="7"/>
      <c r="L136" s="7"/>
      <c r="M136" s="7"/>
      <c r="N136" s="7"/>
      <c r="O136" s="7"/>
      <c r="P136" s="7"/>
      <c r="Q136" s="7"/>
      <c r="R136" s="7"/>
      <c r="S136" s="7"/>
      <c r="T136" s="7"/>
      <c r="U136" s="7"/>
      <c r="V136" s="7"/>
      <c r="W136" s="7"/>
    </row>
    <row r="137" spans="1:23">
      <c r="A137" s="7"/>
      <c r="B137" s="8"/>
      <c r="C137" s="8"/>
      <c r="D137" s="7"/>
      <c r="E137" s="7"/>
      <c r="F137" s="7"/>
      <c r="G137" s="7"/>
      <c r="H137" s="143"/>
      <c r="I137" s="7"/>
      <c r="J137" s="7"/>
      <c r="K137" s="7"/>
      <c r="L137" s="7"/>
      <c r="M137" s="7"/>
      <c r="N137" s="7"/>
      <c r="O137" s="7"/>
      <c r="P137" s="7"/>
      <c r="Q137" s="7"/>
      <c r="R137" s="7"/>
      <c r="S137" s="7"/>
      <c r="T137" s="7"/>
      <c r="U137" s="7"/>
      <c r="V137" s="7"/>
      <c r="W137" s="7"/>
    </row>
    <row r="138" spans="1:23">
      <c r="A138" s="7"/>
      <c r="B138" s="8"/>
      <c r="C138" s="8"/>
      <c r="D138" s="7"/>
      <c r="E138" s="7"/>
      <c r="F138" s="7"/>
      <c r="G138" s="7"/>
      <c r="H138" s="143"/>
      <c r="I138" s="7"/>
      <c r="J138" s="7"/>
      <c r="K138" s="7"/>
      <c r="L138" s="7"/>
      <c r="M138" s="7"/>
      <c r="N138" s="7"/>
      <c r="O138" s="7"/>
      <c r="P138" s="7"/>
      <c r="Q138" s="7"/>
      <c r="R138" s="7"/>
      <c r="S138" s="7"/>
      <c r="T138" s="7"/>
      <c r="U138" s="7"/>
      <c r="V138" s="7"/>
      <c r="W138" s="7"/>
    </row>
    <row r="139" spans="1:23">
      <c r="A139" s="7"/>
      <c r="B139" s="8"/>
      <c r="C139" s="8"/>
      <c r="D139" s="7"/>
      <c r="E139" s="7"/>
      <c r="F139" s="7"/>
      <c r="G139" s="7"/>
      <c r="H139" s="143"/>
      <c r="I139" s="7"/>
      <c r="J139" s="7"/>
      <c r="K139" s="7"/>
      <c r="L139" s="7"/>
      <c r="M139" s="7"/>
      <c r="N139" s="7"/>
      <c r="O139" s="7"/>
      <c r="P139" s="7"/>
      <c r="Q139" s="7"/>
      <c r="R139" s="7"/>
      <c r="S139" s="7"/>
      <c r="T139" s="7"/>
      <c r="U139" s="7"/>
      <c r="V139" s="7"/>
      <c r="W139" s="7"/>
    </row>
    <row r="140" spans="1:23">
      <c r="A140" s="7"/>
      <c r="B140" s="8"/>
      <c r="C140" s="8"/>
      <c r="D140" s="7"/>
      <c r="E140" s="7"/>
      <c r="F140" s="7"/>
      <c r="G140" s="7"/>
      <c r="H140" s="143"/>
      <c r="I140" s="7"/>
      <c r="J140" s="7"/>
      <c r="K140" s="7"/>
      <c r="L140" s="7"/>
      <c r="M140" s="7"/>
      <c r="N140" s="7"/>
      <c r="O140" s="7"/>
      <c r="P140" s="7"/>
      <c r="Q140" s="7"/>
      <c r="R140" s="7"/>
      <c r="S140" s="7"/>
      <c r="T140" s="7"/>
      <c r="U140" s="7"/>
      <c r="V140" s="7"/>
      <c r="W140" s="7"/>
    </row>
    <row r="141" spans="1:23">
      <c r="A141" s="7"/>
      <c r="B141" s="8"/>
      <c r="C141" s="8"/>
      <c r="D141" s="7"/>
      <c r="E141" s="7"/>
      <c r="F141" s="7"/>
      <c r="G141" s="7"/>
      <c r="H141" s="143"/>
      <c r="I141" s="7"/>
      <c r="J141" s="7"/>
      <c r="K141" s="7"/>
      <c r="L141" s="7"/>
      <c r="M141" s="7"/>
      <c r="N141" s="7"/>
      <c r="O141" s="7"/>
      <c r="P141" s="7"/>
      <c r="Q141" s="7"/>
      <c r="R141" s="7"/>
      <c r="S141" s="7"/>
      <c r="T141" s="7"/>
      <c r="U141" s="7"/>
      <c r="V141" s="7"/>
      <c r="W141" s="7"/>
    </row>
    <row r="142" spans="1:23">
      <c r="A142" s="7"/>
      <c r="B142" s="8"/>
      <c r="C142" s="8"/>
      <c r="D142" s="7"/>
      <c r="E142" s="7"/>
      <c r="F142" s="7"/>
      <c r="G142" s="7"/>
      <c r="H142" s="143"/>
      <c r="I142" s="7"/>
      <c r="J142" s="7"/>
      <c r="K142" s="7"/>
      <c r="L142" s="7"/>
      <c r="M142" s="7"/>
      <c r="N142" s="7"/>
      <c r="O142" s="7"/>
      <c r="P142" s="7"/>
      <c r="Q142" s="7"/>
      <c r="R142" s="7"/>
      <c r="S142" s="7"/>
      <c r="T142" s="7"/>
      <c r="U142" s="7"/>
      <c r="V142" s="7"/>
      <c r="W142" s="7"/>
    </row>
    <row r="143" spans="1:23">
      <c r="A143" s="7"/>
      <c r="B143" s="8"/>
      <c r="C143" s="8"/>
      <c r="D143" s="7"/>
      <c r="E143" s="7"/>
      <c r="F143" s="7"/>
      <c r="G143" s="7"/>
      <c r="H143" s="143"/>
      <c r="I143" s="7"/>
      <c r="J143" s="7"/>
      <c r="K143" s="7"/>
      <c r="L143" s="7"/>
      <c r="M143" s="7"/>
      <c r="N143" s="7"/>
      <c r="O143" s="7"/>
      <c r="P143" s="7"/>
      <c r="Q143" s="7"/>
      <c r="R143" s="7"/>
      <c r="S143" s="7"/>
      <c r="T143" s="7"/>
      <c r="U143" s="7"/>
      <c r="V143" s="7"/>
      <c r="W143" s="7"/>
    </row>
    <row r="144" spans="1:23">
      <c r="A144" s="7"/>
      <c r="B144" s="8"/>
      <c r="C144" s="8"/>
      <c r="D144" s="7"/>
      <c r="E144" s="7"/>
      <c r="F144" s="7"/>
      <c r="G144" s="7"/>
      <c r="H144" s="143"/>
      <c r="I144" s="7"/>
      <c r="J144" s="7"/>
      <c r="K144" s="7"/>
      <c r="L144" s="7"/>
      <c r="M144" s="7"/>
      <c r="N144" s="7"/>
      <c r="O144" s="7"/>
      <c r="P144" s="7"/>
      <c r="Q144" s="7"/>
      <c r="R144" s="7"/>
      <c r="S144" s="7"/>
      <c r="T144" s="7"/>
      <c r="U144" s="7"/>
      <c r="V144" s="7"/>
      <c r="W144" s="7"/>
    </row>
    <row r="145" spans="1:23">
      <c r="A145" s="7"/>
      <c r="B145" s="8"/>
      <c r="C145" s="8"/>
      <c r="D145" s="7"/>
      <c r="E145" s="7"/>
      <c r="F145" s="7"/>
      <c r="G145" s="7"/>
      <c r="H145" s="143"/>
      <c r="I145" s="7"/>
      <c r="J145" s="7"/>
      <c r="K145" s="7"/>
      <c r="L145" s="7"/>
      <c r="M145" s="7"/>
      <c r="N145" s="7"/>
      <c r="O145" s="7"/>
      <c r="P145" s="7"/>
      <c r="Q145" s="7"/>
      <c r="R145" s="7"/>
      <c r="S145" s="7"/>
      <c r="T145" s="7"/>
      <c r="U145" s="7"/>
      <c r="V145" s="7"/>
      <c r="W145" s="7"/>
    </row>
    <row r="146" spans="1:23">
      <c r="A146" s="7"/>
      <c r="B146" s="8"/>
      <c r="C146" s="8"/>
      <c r="D146" s="7"/>
      <c r="E146" s="7"/>
      <c r="F146" s="7"/>
      <c r="G146" s="7"/>
      <c r="H146" s="143"/>
      <c r="I146" s="7"/>
      <c r="J146" s="7"/>
      <c r="K146" s="7"/>
      <c r="L146" s="7"/>
      <c r="M146" s="7"/>
      <c r="N146" s="7"/>
      <c r="O146" s="7"/>
      <c r="P146" s="7"/>
      <c r="Q146" s="7"/>
      <c r="R146" s="7"/>
      <c r="S146" s="7"/>
      <c r="T146" s="7"/>
      <c r="U146" s="7"/>
      <c r="V146" s="7"/>
      <c r="W146" s="7"/>
    </row>
    <row r="147" spans="1:23">
      <c r="A147" s="7"/>
      <c r="B147" s="8"/>
      <c r="C147" s="8"/>
      <c r="D147" s="7"/>
      <c r="E147" s="7"/>
      <c r="F147" s="7"/>
      <c r="G147" s="7"/>
      <c r="H147" s="143"/>
      <c r="I147" s="7"/>
      <c r="J147" s="7"/>
      <c r="K147" s="7"/>
      <c r="L147" s="7"/>
      <c r="M147" s="7"/>
      <c r="N147" s="7"/>
      <c r="O147" s="7"/>
      <c r="P147" s="7"/>
      <c r="Q147" s="7"/>
      <c r="R147" s="7"/>
      <c r="S147" s="7"/>
      <c r="T147" s="7"/>
      <c r="U147" s="7"/>
      <c r="V147" s="7"/>
      <c r="W147" s="7"/>
    </row>
    <row r="148" spans="1:23">
      <c r="A148" s="7"/>
      <c r="B148" s="8"/>
      <c r="C148" s="8"/>
      <c r="D148" s="7"/>
      <c r="E148" s="7"/>
      <c r="F148" s="7"/>
      <c r="G148" s="7"/>
      <c r="H148" s="143"/>
      <c r="I148" s="7"/>
      <c r="J148" s="7"/>
      <c r="K148" s="7"/>
      <c r="L148" s="7"/>
      <c r="M148" s="7"/>
      <c r="N148" s="7"/>
      <c r="O148" s="7"/>
      <c r="P148" s="7"/>
      <c r="Q148" s="7"/>
      <c r="R148" s="7"/>
      <c r="S148" s="7"/>
      <c r="T148" s="7"/>
      <c r="U148" s="7"/>
      <c r="V148" s="7"/>
      <c r="W148" s="7"/>
    </row>
    <row r="149" spans="1:23">
      <c r="A149" s="7"/>
      <c r="B149" s="8"/>
      <c r="C149" s="8"/>
      <c r="D149" s="7"/>
      <c r="E149" s="7"/>
      <c r="F149" s="7"/>
      <c r="G149" s="7"/>
      <c r="H149" s="143"/>
      <c r="I149" s="7"/>
      <c r="J149" s="7"/>
      <c r="K149" s="7"/>
      <c r="L149" s="7"/>
      <c r="M149" s="7"/>
      <c r="N149" s="7"/>
      <c r="O149" s="7"/>
      <c r="P149" s="7"/>
      <c r="Q149" s="7"/>
      <c r="R149" s="7"/>
      <c r="S149" s="7"/>
      <c r="T149" s="7"/>
      <c r="U149" s="7"/>
      <c r="V149" s="7"/>
      <c r="W149" s="7"/>
    </row>
    <row r="150" spans="1:23">
      <c r="A150" s="7"/>
      <c r="B150" s="8"/>
      <c r="C150" s="8"/>
      <c r="D150" s="7"/>
      <c r="E150" s="7"/>
      <c r="F150" s="7"/>
      <c r="G150" s="7"/>
      <c r="H150" s="143"/>
      <c r="I150" s="7"/>
      <c r="J150" s="7"/>
      <c r="K150" s="7"/>
      <c r="L150" s="7"/>
      <c r="M150" s="7"/>
      <c r="N150" s="7"/>
      <c r="O150" s="7"/>
      <c r="P150" s="7"/>
      <c r="Q150" s="7"/>
      <c r="R150" s="7"/>
      <c r="S150" s="7"/>
      <c r="T150" s="7"/>
      <c r="U150" s="7"/>
      <c r="V150" s="7"/>
      <c r="W150" s="7"/>
    </row>
    <row r="151" spans="1:23">
      <c r="A151" s="7"/>
      <c r="B151" s="8"/>
      <c r="C151" s="8"/>
      <c r="D151" s="7"/>
      <c r="E151" s="7"/>
      <c r="F151" s="7"/>
      <c r="G151" s="7"/>
      <c r="H151" s="143"/>
      <c r="I151" s="7"/>
      <c r="J151" s="7"/>
      <c r="K151" s="7"/>
      <c r="L151" s="7"/>
      <c r="M151" s="7"/>
      <c r="N151" s="7"/>
      <c r="O151" s="7"/>
      <c r="P151" s="7"/>
      <c r="Q151" s="7"/>
      <c r="R151" s="7"/>
      <c r="S151" s="7"/>
      <c r="T151" s="7"/>
      <c r="U151" s="7"/>
      <c r="V151" s="7"/>
      <c r="W151" s="7"/>
    </row>
    <row r="152" spans="1:23">
      <c r="A152" s="7"/>
      <c r="B152" s="8"/>
      <c r="C152" s="8"/>
      <c r="D152" s="7"/>
      <c r="E152" s="7"/>
      <c r="F152" s="7"/>
      <c r="G152" s="7"/>
      <c r="H152" s="143"/>
      <c r="I152" s="7"/>
      <c r="J152" s="7"/>
      <c r="K152" s="7"/>
      <c r="L152" s="7"/>
      <c r="M152" s="7"/>
      <c r="N152" s="7"/>
      <c r="O152" s="7"/>
      <c r="P152" s="7"/>
      <c r="Q152" s="7"/>
      <c r="R152" s="7"/>
      <c r="S152" s="7"/>
      <c r="T152" s="7"/>
      <c r="U152" s="7"/>
      <c r="V152" s="7"/>
      <c r="W152" s="7"/>
    </row>
    <row r="153" spans="1:23">
      <c r="A153" s="7"/>
      <c r="B153" s="8"/>
      <c r="C153" s="8"/>
      <c r="D153" s="7"/>
      <c r="E153" s="7"/>
      <c r="F153" s="7"/>
      <c r="G153" s="7"/>
      <c r="H153" s="143"/>
      <c r="I153" s="7"/>
      <c r="J153" s="7"/>
      <c r="K153" s="7"/>
      <c r="L153" s="7"/>
      <c r="M153" s="7"/>
      <c r="N153" s="7"/>
      <c r="O153" s="7"/>
      <c r="P153" s="7"/>
      <c r="Q153" s="7"/>
      <c r="R153" s="7"/>
      <c r="S153" s="7"/>
      <c r="T153" s="7"/>
      <c r="U153" s="7"/>
      <c r="V153" s="7"/>
      <c r="W153" s="7"/>
    </row>
    <row r="154" spans="1:23">
      <c r="A154" s="7"/>
      <c r="B154" s="8"/>
      <c r="C154" s="8"/>
      <c r="D154" s="7"/>
      <c r="E154" s="7"/>
      <c r="F154" s="7"/>
      <c r="G154" s="7"/>
      <c r="H154" s="143"/>
      <c r="I154" s="7"/>
      <c r="J154" s="7"/>
      <c r="K154" s="7"/>
      <c r="L154" s="7"/>
      <c r="M154" s="7"/>
      <c r="N154" s="7"/>
      <c r="O154" s="7"/>
      <c r="P154" s="7"/>
      <c r="Q154" s="7"/>
      <c r="R154" s="7"/>
      <c r="S154" s="7"/>
      <c r="T154" s="7"/>
      <c r="U154" s="7"/>
      <c r="V154" s="7"/>
      <c r="W154" s="7"/>
    </row>
    <row r="155" spans="1:23">
      <c r="A155" s="7"/>
      <c r="B155" s="8"/>
      <c r="C155" s="8"/>
      <c r="D155" s="7"/>
      <c r="E155" s="7"/>
      <c r="F155" s="7"/>
      <c r="G155" s="7"/>
      <c r="H155" s="143"/>
      <c r="I155" s="7"/>
      <c r="J155" s="7"/>
      <c r="K155" s="7"/>
      <c r="L155" s="7"/>
      <c r="M155" s="7"/>
      <c r="N155" s="7"/>
      <c r="O155" s="7"/>
      <c r="P155" s="7"/>
      <c r="Q155" s="7"/>
      <c r="R155" s="7"/>
      <c r="S155" s="7"/>
      <c r="T155" s="7"/>
      <c r="U155" s="7"/>
      <c r="V155" s="7"/>
      <c r="W155" s="7"/>
    </row>
    <row r="156" spans="1:23">
      <c r="A156" s="7"/>
      <c r="B156" s="8"/>
      <c r="C156" s="8"/>
      <c r="D156" s="7"/>
      <c r="E156" s="7"/>
      <c r="F156" s="7"/>
      <c r="G156" s="7"/>
      <c r="H156" s="143"/>
      <c r="I156" s="7"/>
      <c r="J156" s="7"/>
      <c r="K156" s="7"/>
      <c r="L156" s="7"/>
      <c r="M156" s="7"/>
      <c r="N156" s="7"/>
      <c r="O156" s="7"/>
      <c r="P156" s="7"/>
      <c r="Q156" s="7"/>
      <c r="R156" s="7"/>
      <c r="S156" s="7"/>
      <c r="T156" s="7"/>
      <c r="U156" s="7"/>
      <c r="V156" s="7"/>
      <c r="W156" s="7"/>
    </row>
    <row r="157" spans="1:23">
      <c r="A157" s="7"/>
      <c r="B157" s="8"/>
      <c r="C157" s="8"/>
      <c r="D157" s="7"/>
      <c r="E157" s="7"/>
      <c r="F157" s="7"/>
      <c r="G157" s="7"/>
      <c r="H157" s="143"/>
      <c r="I157" s="7"/>
      <c r="J157" s="7"/>
      <c r="K157" s="7"/>
      <c r="L157" s="7"/>
      <c r="M157" s="7"/>
      <c r="N157" s="7"/>
      <c r="O157" s="7"/>
      <c r="P157" s="7"/>
      <c r="Q157" s="7"/>
      <c r="R157" s="7"/>
      <c r="S157" s="7"/>
      <c r="T157" s="7"/>
      <c r="U157" s="7"/>
      <c r="V157" s="7"/>
      <c r="W157" s="7"/>
    </row>
    <row r="158" spans="1:23">
      <c r="A158" s="7"/>
      <c r="B158" s="8"/>
      <c r="C158" s="8"/>
      <c r="D158" s="7"/>
      <c r="E158" s="7"/>
      <c r="F158" s="7"/>
      <c r="G158" s="7"/>
      <c r="H158" s="143"/>
      <c r="I158" s="7"/>
      <c r="J158" s="7"/>
      <c r="K158" s="7"/>
      <c r="L158" s="7"/>
      <c r="M158" s="7"/>
      <c r="N158" s="7"/>
      <c r="O158" s="7"/>
      <c r="P158" s="7"/>
      <c r="Q158" s="7"/>
      <c r="R158" s="7"/>
      <c r="S158" s="7"/>
      <c r="T158" s="7"/>
      <c r="U158" s="7"/>
      <c r="V158" s="7"/>
      <c r="W158" s="7"/>
    </row>
    <row r="159" spans="1:23">
      <c r="A159" s="7"/>
      <c r="B159" s="8"/>
      <c r="C159" s="8"/>
      <c r="D159" s="7"/>
      <c r="E159" s="7"/>
      <c r="F159" s="7"/>
      <c r="G159" s="7"/>
      <c r="H159" s="143"/>
      <c r="I159" s="7"/>
      <c r="J159" s="7"/>
      <c r="K159" s="7"/>
      <c r="L159" s="7"/>
      <c r="M159" s="7"/>
      <c r="N159" s="7"/>
      <c r="O159" s="7"/>
      <c r="P159" s="7"/>
      <c r="Q159" s="7"/>
      <c r="R159" s="7"/>
      <c r="S159" s="7"/>
      <c r="T159" s="7"/>
      <c r="U159" s="7"/>
      <c r="V159" s="7"/>
      <c r="W159" s="7"/>
    </row>
    <row r="160" spans="1:23">
      <c r="A160" s="7"/>
      <c r="B160" s="8"/>
      <c r="C160" s="8"/>
      <c r="D160" s="7"/>
      <c r="E160" s="7"/>
      <c r="F160" s="7"/>
      <c r="G160" s="7"/>
      <c r="H160" s="143"/>
      <c r="I160" s="7"/>
      <c r="J160" s="7"/>
      <c r="K160" s="7"/>
      <c r="L160" s="7"/>
      <c r="M160" s="7"/>
      <c r="N160" s="7"/>
      <c r="O160" s="7"/>
      <c r="P160" s="7"/>
      <c r="Q160" s="7"/>
      <c r="R160" s="7"/>
      <c r="S160" s="7"/>
      <c r="T160" s="7"/>
      <c r="U160" s="7"/>
      <c r="V160" s="7"/>
      <c r="W160" s="7"/>
    </row>
    <row r="161" spans="1:23">
      <c r="A161" s="7"/>
      <c r="B161" s="8"/>
      <c r="C161" s="8"/>
      <c r="D161" s="7"/>
      <c r="E161" s="7"/>
      <c r="F161" s="7"/>
      <c r="G161" s="7"/>
      <c r="H161" s="143"/>
      <c r="I161" s="7"/>
      <c r="J161" s="7"/>
      <c r="K161" s="7"/>
      <c r="L161" s="7"/>
      <c r="M161" s="7"/>
      <c r="N161" s="7"/>
      <c r="O161" s="7"/>
      <c r="P161" s="7"/>
      <c r="Q161" s="7"/>
      <c r="R161" s="7"/>
      <c r="S161" s="7"/>
      <c r="T161" s="7"/>
      <c r="U161" s="7"/>
      <c r="V161" s="7"/>
      <c r="W161" s="7"/>
    </row>
    <row r="162" spans="1:23">
      <c r="A162" s="7"/>
      <c r="B162" s="8"/>
      <c r="C162" s="8"/>
      <c r="D162" s="7"/>
      <c r="E162" s="7"/>
      <c r="F162" s="7"/>
      <c r="G162" s="7"/>
      <c r="H162" s="143"/>
      <c r="I162" s="7"/>
      <c r="J162" s="7"/>
      <c r="K162" s="7"/>
      <c r="L162" s="7"/>
      <c r="M162" s="7"/>
      <c r="N162" s="7"/>
      <c r="O162" s="7"/>
      <c r="P162" s="7"/>
      <c r="Q162" s="7"/>
      <c r="R162" s="7"/>
      <c r="S162" s="7"/>
      <c r="T162" s="7"/>
      <c r="U162" s="7"/>
      <c r="V162" s="7"/>
      <c r="W162" s="7"/>
    </row>
    <row r="163" spans="1:23">
      <c r="A163" s="7"/>
      <c r="B163" s="8"/>
      <c r="C163" s="8"/>
      <c r="D163" s="7"/>
      <c r="E163" s="7"/>
      <c r="F163" s="7"/>
      <c r="G163" s="7"/>
      <c r="H163" s="143"/>
      <c r="I163" s="7"/>
      <c r="J163" s="7"/>
      <c r="K163" s="7"/>
      <c r="L163" s="7"/>
      <c r="M163" s="7"/>
      <c r="N163" s="7"/>
      <c r="O163" s="7"/>
      <c r="P163" s="7"/>
      <c r="Q163" s="7"/>
      <c r="R163" s="7"/>
      <c r="S163" s="7"/>
      <c r="T163" s="7"/>
      <c r="U163" s="7"/>
      <c r="V163" s="7"/>
      <c r="W163" s="7"/>
    </row>
    <row r="164" spans="1:23">
      <c r="A164" s="7"/>
      <c r="B164" s="8"/>
      <c r="C164" s="8"/>
      <c r="D164" s="7"/>
      <c r="E164" s="7"/>
      <c r="F164" s="7"/>
      <c r="G164" s="7"/>
      <c r="H164" s="143"/>
      <c r="I164" s="7"/>
      <c r="J164" s="7"/>
      <c r="K164" s="7"/>
      <c r="L164" s="7"/>
      <c r="M164" s="7"/>
      <c r="N164" s="7"/>
      <c r="O164" s="7"/>
      <c r="P164" s="7"/>
      <c r="Q164" s="7"/>
      <c r="R164" s="7"/>
      <c r="S164" s="7"/>
      <c r="T164" s="7"/>
      <c r="U164" s="7"/>
      <c r="V164" s="7"/>
      <c r="W164" s="7"/>
    </row>
    <row r="165" spans="1:23">
      <c r="A165" s="7"/>
      <c r="B165" s="8"/>
      <c r="C165" s="8"/>
      <c r="D165" s="7"/>
      <c r="E165" s="7"/>
      <c r="F165" s="7"/>
      <c r="G165" s="7"/>
      <c r="H165" s="143"/>
      <c r="I165" s="7"/>
      <c r="J165" s="7"/>
      <c r="K165" s="7"/>
      <c r="L165" s="7"/>
      <c r="M165" s="7"/>
      <c r="N165" s="7"/>
      <c r="O165" s="7"/>
      <c r="P165" s="7"/>
      <c r="Q165" s="7"/>
      <c r="R165" s="7"/>
      <c r="S165" s="7"/>
      <c r="T165" s="7"/>
      <c r="U165" s="7"/>
      <c r="V165" s="7"/>
      <c r="W165" s="7"/>
    </row>
    <row r="166" spans="1:23">
      <c r="A166" s="7"/>
      <c r="B166" s="8"/>
      <c r="C166" s="8"/>
      <c r="D166" s="7"/>
      <c r="E166" s="7"/>
      <c r="F166" s="7"/>
      <c r="G166" s="7"/>
      <c r="H166" s="143"/>
      <c r="I166" s="7"/>
      <c r="J166" s="7"/>
      <c r="K166" s="7"/>
      <c r="L166" s="7"/>
      <c r="M166" s="7"/>
      <c r="N166" s="7"/>
      <c r="O166" s="7"/>
      <c r="P166" s="7"/>
      <c r="Q166" s="7"/>
      <c r="R166" s="7"/>
      <c r="S166" s="7"/>
      <c r="T166" s="7"/>
      <c r="U166" s="7"/>
      <c r="V166" s="7"/>
      <c r="W166" s="7"/>
    </row>
    <row r="167" spans="1:23">
      <c r="A167" s="7"/>
      <c r="B167" s="8"/>
      <c r="C167" s="8"/>
      <c r="D167" s="7"/>
      <c r="E167" s="7"/>
      <c r="F167" s="7"/>
      <c r="G167" s="7"/>
      <c r="H167" s="143"/>
      <c r="I167" s="7"/>
      <c r="J167" s="7"/>
      <c r="K167" s="7"/>
      <c r="L167" s="7"/>
      <c r="M167" s="7"/>
      <c r="N167" s="7"/>
      <c r="O167" s="7"/>
      <c r="P167" s="7"/>
      <c r="Q167" s="7"/>
      <c r="R167" s="7"/>
      <c r="S167" s="7"/>
      <c r="T167" s="7"/>
      <c r="U167" s="7"/>
      <c r="V167" s="7"/>
      <c r="W167" s="7"/>
    </row>
    <row r="168" spans="1:23">
      <c r="A168" s="7"/>
      <c r="B168" s="8"/>
      <c r="C168" s="8"/>
      <c r="D168" s="7"/>
      <c r="E168" s="7"/>
      <c r="F168" s="7"/>
      <c r="G168" s="7"/>
      <c r="H168" s="143"/>
      <c r="I168" s="7"/>
      <c r="J168" s="7"/>
      <c r="K168" s="7"/>
      <c r="L168" s="7"/>
      <c r="M168" s="7"/>
      <c r="N168" s="7"/>
      <c r="O168" s="7"/>
      <c r="P168" s="7"/>
      <c r="Q168" s="7"/>
      <c r="R168" s="7"/>
      <c r="S168" s="7"/>
      <c r="T168" s="7"/>
      <c r="U168" s="7"/>
      <c r="V168" s="7"/>
      <c r="W168" s="7"/>
    </row>
    <row r="169" spans="1:23">
      <c r="A169" s="7"/>
      <c r="B169" s="8"/>
      <c r="C169" s="8"/>
      <c r="D169" s="7"/>
      <c r="E169" s="7"/>
      <c r="F169" s="7"/>
      <c r="G169" s="7"/>
      <c r="H169" s="143"/>
      <c r="I169" s="7"/>
      <c r="J169" s="7"/>
      <c r="K169" s="7"/>
      <c r="L169" s="7"/>
      <c r="M169" s="7"/>
      <c r="N169" s="7"/>
      <c r="O169" s="7"/>
      <c r="P169" s="7"/>
      <c r="Q169" s="7"/>
      <c r="R169" s="7"/>
      <c r="S169" s="7"/>
      <c r="T169" s="7"/>
      <c r="U169" s="7"/>
      <c r="V169" s="7"/>
      <c r="W169" s="7"/>
    </row>
    <row r="170" spans="1:23">
      <c r="A170" s="7"/>
      <c r="B170" s="8"/>
      <c r="C170" s="8"/>
      <c r="D170" s="7"/>
      <c r="E170" s="7"/>
      <c r="F170" s="7"/>
      <c r="G170" s="7"/>
      <c r="H170" s="143"/>
      <c r="I170" s="7"/>
      <c r="J170" s="7"/>
      <c r="K170" s="7"/>
      <c r="L170" s="7"/>
      <c r="M170" s="7"/>
      <c r="N170" s="7"/>
      <c r="O170" s="7"/>
      <c r="P170" s="7"/>
      <c r="Q170" s="7"/>
      <c r="R170" s="7"/>
      <c r="S170" s="7"/>
      <c r="T170" s="7"/>
      <c r="U170" s="7"/>
      <c r="V170" s="7"/>
      <c r="W170" s="7"/>
    </row>
    <row r="171" spans="1:23">
      <c r="A171" s="7"/>
      <c r="B171" s="8"/>
      <c r="C171" s="8"/>
      <c r="D171" s="7"/>
      <c r="E171" s="7"/>
      <c r="F171" s="7"/>
      <c r="G171" s="7"/>
      <c r="H171" s="143"/>
      <c r="I171" s="7"/>
      <c r="J171" s="7"/>
      <c r="K171" s="7"/>
      <c r="L171" s="7"/>
      <c r="M171" s="7"/>
      <c r="N171" s="7"/>
      <c r="O171" s="7"/>
      <c r="P171" s="7"/>
      <c r="Q171" s="7"/>
      <c r="R171" s="7"/>
      <c r="S171" s="7"/>
      <c r="T171" s="7"/>
      <c r="U171" s="7"/>
      <c r="V171" s="7"/>
      <c r="W171" s="7"/>
    </row>
    <row r="172" spans="1:23">
      <c r="A172" s="7"/>
      <c r="B172" s="8"/>
      <c r="C172" s="8"/>
      <c r="D172" s="7"/>
      <c r="E172" s="7"/>
      <c r="F172" s="7"/>
      <c r="G172" s="7"/>
      <c r="H172" s="143"/>
      <c r="I172" s="7"/>
      <c r="J172" s="7"/>
      <c r="K172" s="7"/>
      <c r="L172" s="7"/>
      <c r="M172" s="7"/>
      <c r="N172" s="7"/>
      <c r="O172" s="7"/>
      <c r="P172" s="7"/>
      <c r="Q172" s="7"/>
      <c r="R172" s="7"/>
      <c r="S172" s="7"/>
      <c r="T172" s="7"/>
      <c r="U172" s="7"/>
      <c r="V172" s="7"/>
      <c r="W172" s="7"/>
    </row>
    <row r="173" spans="1:23">
      <c r="A173" s="7"/>
      <c r="B173" s="8"/>
      <c r="C173" s="8"/>
      <c r="D173" s="7"/>
      <c r="E173" s="7"/>
      <c r="F173" s="7"/>
      <c r="G173" s="7"/>
      <c r="H173" s="143"/>
      <c r="I173" s="7"/>
      <c r="J173" s="7"/>
      <c r="K173" s="7"/>
      <c r="L173" s="7"/>
      <c r="M173" s="7"/>
      <c r="N173" s="7"/>
      <c r="O173" s="7"/>
      <c r="P173" s="7"/>
      <c r="Q173" s="7"/>
      <c r="R173" s="7"/>
      <c r="S173" s="7"/>
      <c r="T173" s="7"/>
      <c r="U173" s="7"/>
      <c r="V173" s="7"/>
      <c r="W173" s="7"/>
    </row>
    <row r="174" spans="1:23">
      <c r="A174" s="7"/>
      <c r="B174" s="8"/>
      <c r="C174" s="8"/>
      <c r="D174" s="7"/>
      <c r="E174" s="7"/>
      <c r="F174" s="7"/>
      <c r="G174" s="7"/>
      <c r="H174" s="143"/>
      <c r="I174" s="7"/>
      <c r="J174" s="7"/>
      <c r="K174" s="7"/>
      <c r="L174" s="7"/>
      <c r="M174" s="7"/>
      <c r="N174" s="7"/>
      <c r="O174" s="7"/>
      <c r="P174" s="7"/>
      <c r="Q174" s="7"/>
      <c r="R174" s="7"/>
      <c r="S174" s="7"/>
      <c r="T174" s="7"/>
      <c r="U174" s="7"/>
      <c r="V174" s="7"/>
      <c r="W174" s="7"/>
    </row>
    <row r="175" spans="1:23">
      <c r="A175" s="7"/>
      <c r="B175" s="8"/>
      <c r="C175" s="8"/>
      <c r="D175" s="7"/>
      <c r="E175" s="7"/>
      <c r="F175" s="7"/>
      <c r="G175" s="7"/>
      <c r="H175" s="143"/>
      <c r="I175" s="7"/>
      <c r="J175" s="7"/>
      <c r="K175" s="7"/>
      <c r="L175" s="7"/>
      <c r="M175" s="7"/>
      <c r="N175" s="7"/>
      <c r="O175" s="7"/>
      <c r="P175" s="7"/>
      <c r="Q175" s="7"/>
      <c r="R175" s="7"/>
      <c r="S175" s="7"/>
      <c r="T175" s="7"/>
      <c r="U175" s="7"/>
      <c r="V175" s="7"/>
      <c r="W175" s="7"/>
    </row>
    <row r="176" spans="1:23">
      <c r="A176" s="7"/>
      <c r="B176" s="8"/>
      <c r="C176" s="8"/>
      <c r="D176" s="7"/>
      <c r="E176" s="7"/>
      <c r="F176" s="7"/>
      <c r="G176" s="7"/>
      <c r="H176" s="143"/>
      <c r="I176" s="7"/>
      <c r="J176" s="7"/>
      <c r="K176" s="7"/>
      <c r="L176" s="7"/>
      <c r="M176" s="7"/>
      <c r="N176" s="7"/>
      <c r="O176" s="7"/>
      <c r="P176" s="7"/>
      <c r="Q176" s="7"/>
      <c r="R176" s="7"/>
      <c r="S176" s="7"/>
      <c r="T176" s="7"/>
      <c r="U176" s="7"/>
      <c r="V176" s="7"/>
      <c r="W176" s="7"/>
    </row>
    <row r="177" spans="1:23">
      <c r="A177" s="7"/>
      <c r="B177" s="8"/>
      <c r="C177" s="8"/>
      <c r="D177" s="7"/>
      <c r="E177" s="7"/>
      <c r="F177" s="7"/>
      <c r="G177" s="7"/>
      <c r="H177" s="143"/>
      <c r="I177" s="7"/>
      <c r="J177" s="7"/>
      <c r="K177" s="7"/>
      <c r="L177" s="7"/>
      <c r="M177" s="7"/>
      <c r="N177" s="7"/>
      <c r="O177" s="7"/>
      <c r="P177" s="7"/>
      <c r="Q177" s="7"/>
      <c r="R177" s="7"/>
      <c r="S177" s="7"/>
      <c r="T177" s="7"/>
      <c r="U177" s="7"/>
      <c r="V177" s="7"/>
      <c r="W177" s="7"/>
    </row>
    <row r="178" spans="1:23">
      <c r="A178" s="7"/>
      <c r="B178" s="8"/>
      <c r="C178" s="8"/>
      <c r="D178" s="7"/>
      <c r="E178" s="7"/>
      <c r="F178" s="7"/>
      <c r="G178" s="7"/>
      <c r="H178" s="143"/>
      <c r="I178" s="7"/>
      <c r="J178" s="7"/>
      <c r="K178" s="7"/>
      <c r="L178" s="7"/>
      <c r="M178" s="7"/>
      <c r="N178" s="7"/>
      <c r="O178" s="7"/>
      <c r="P178" s="7"/>
      <c r="Q178" s="7"/>
      <c r="R178" s="7"/>
      <c r="S178" s="7"/>
      <c r="T178" s="7"/>
      <c r="U178" s="7"/>
      <c r="V178" s="7"/>
      <c r="W178" s="7"/>
    </row>
    <row r="179" spans="1:23">
      <c r="A179" s="7"/>
      <c r="B179" s="8"/>
      <c r="C179" s="8"/>
      <c r="D179" s="7"/>
      <c r="E179" s="7"/>
      <c r="F179" s="7"/>
      <c r="G179" s="7"/>
      <c r="H179" s="143"/>
      <c r="I179" s="7"/>
      <c r="J179" s="7"/>
      <c r="K179" s="7"/>
      <c r="L179" s="7"/>
      <c r="M179" s="7"/>
      <c r="N179" s="7"/>
      <c r="O179" s="7"/>
      <c r="P179" s="7"/>
      <c r="Q179" s="7"/>
      <c r="R179" s="7"/>
      <c r="S179" s="7"/>
      <c r="T179" s="7"/>
      <c r="U179" s="7"/>
      <c r="V179" s="7"/>
      <c r="W179" s="7"/>
    </row>
    <row r="180" spans="1:23">
      <c r="A180" s="7"/>
      <c r="B180" s="8"/>
      <c r="C180" s="8"/>
      <c r="D180" s="7"/>
      <c r="E180" s="7"/>
      <c r="F180" s="7"/>
      <c r="G180" s="7"/>
      <c r="H180" s="143"/>
      <c r="I180" s="7"/>
      <c r="J180" s="7"/>
      <c r="K180" s="7"/>
      <c r="L180" s="7"/>
      <c r="M180" s="7"/>
      <c r="N180" s="7"/>
      <c r="O180" s="7"/>
      <c r="P180" s="7"/>
      <c r="Q180" s="7"/>
      <c r="R180" s="7"/>
      <c r="S180" s="7"/>
      <c r="T180" s="7"/>
      <c r="U180" s="7"/>
      <c r="V180" s="7"/>
      <c r="W180" s="7"/>
    </row>
    <row r="181" spans="1:23">
      <c r="A181" s="7"/>
      <c r="B181" s="8"/>
      <c r="C181" s="8"/>
      <c r="D181" s="7"/>
      <c r="E181" s="7"/>
      <c r="F181" s="7"/>
      <c r="G181" s="7"/>
      <c r="H181" s="143"/>
      <c r="I181" s="7"/>
      <c r="J181" s="7"/>
      <c r="K181" s="7"/>
      <c r="L181" s="7"/>
      <c r="M181" s="7"/>
      <c r="N181" s="7"/>
      <c r="O181" s="7"/>
      <c r="P181" s="7"/>
      <c r="Q181" s="7"/>
      <c r="R181" s="7"/>
      <c r="S181" s="7"/>
      <c r="T181" s="7"/>
      <c r="U181" s="7"/>
      <c r="V181" s="7"/>
      <c r="W181" s="7"/>
    </row>
    <row r="182" spans="1:23">
      <c r="A182" s="7"/>
      <c r="B182" s="8"/>
      <c r="C182" s="8"/>
      <c r="D182" s="7"/>
      <c r="E182" s="7"/>
      <c r="F182" s="7"/>
      <c r="G182" s="7"/>
      <c r="H182" s="143"/>
      <c r="I182" s="7"/>
      <c r="J182" s="7"/>
      <c r="K182" s="7"/>
      <c r="L182" s="7"/>
      <c r="M182" s="7"/>
      <c r="N182" s="7"/>
      <c r="O182" s="7"/>
      <c r="P182" s="7"/>
      <c r="Q182" s="7"/>
      <c r="R182" s="7"/>
      <c r="S182" s="7"/>
      <c r="T182" s="7"/>
      <c r="U182" s="7"/>
      <c r="V182" s="7"/>
      <c r="W182" s="7"/>
    </row>
    <row r="183" spans="1:23">
      <c r="A183" s="7"/>
      <c r="B183" s="8"/>
      <c r="C183" s="8"/>
      <c r="D183" s="7"/>
      <c r="E183" s="7"/>
      <c r="F183" s="7"/>
      <c r="G183" s="7"/>
      <c r="H183" s="143"/>
      <c r="I183" s="7"/>
      <c r="J183" s="7"/>
      <c r="K183" s="7"/>
      <c r="L183" s="7"/>
      <c r="M183" s="7"/>
      <c r="N183" s="7"/>
      <c r="O183" s="7"/>
      <c r="P183" s="7"/>
      <c r="Q183" s="7"/>
      <c r="R183" s="7"/>
      <c r="S183" s="7"/>
      <c r="T183" s="7"/>
      <c r="U183" s="7"/>
      <c r="V183" s="7"/>
      <c r="W183" s="7"/>
    </row>
    <row r="184" spans="1:23">
      <c r="A184" s="7"/>
      <c r="B184" s="8"/>
      <c r="C184" s="8"/>
      <c r="D184" s="7"/>
      <c r="E184" s="7"/>
      <c r="F184" s="7"/>
      <c r="G184" s="7"/>
      <c r="H184" s="143"/>
      <c r="I184" s="7"/>
      <c r="J184" s="7"/>
      <c r="K184" s="7"/>
      <c r="L184" s="7"/>
      <c r="M184" s="7"/>
      <c r="N184" s="7"/>
      <c r="O184" s="7"/>
      <c r="P184" s="7"/>
      <c r="Q184" s="7"/>
      <c r="R184" s="7"/>
      <c r="S184" s="7"/>
      <c r="T184" s="7"/>
      <c r="U184" s="7"/>
      <c r="V184" s="7"/>
      <c r="W184" s="7"/>
    </row>
    <row r="185" spans="1:23">
      <c r="A185" s="7"/>
      <c r="B185" s="8"/>
      <c r="C185" s="8"/>
      <c r="D185" s="7"/>
      <c r="E185" s="7"/>
      <c r="F185" s="7"/>
      <c r="G185" s="7"/>
      <c r="H185" s="143"/>
      <c r="I185" s="7"/>
      <c r="J185" s="7"/>
      <c r="K185" s="7"/>
      <c r="L185" s="7"/>
      <c r="M185" s="7"/>
      <c r="N185" s="7"/>
      <c r="O185" s="7"/>
      <c r="P185" s="7"/>
      <c r="Q185" s="7"/>
      <c r="R185" s="7"/>
      <c r="S185" s="7"/>
      <c r="T185" s="7"/>
      <c r="U185" s="7"/>
      <c r="V185" s="7"/>
      <c r="W185" s="7"/>
    </row>
    <row r="186" spans="1:23">
      <c r="A186" s="7"/>
      <c r="B186" s="8"/>
      <c r="C186" s="8"/>
      <c r="D186" s="7"/>
      <c r="E186" s="7"/>
      <c r="F186" s="7"/>
      <c r="G186" s="7"/>
      <c r="H186" s="143"/>
      <c r="I186" s="7"/>
      <c r="J186" s="7"/>
      <c r="K186" s="7"/>
      <c r="L186" s="7"/>
      <c r="M186" s="7"/>
      <c r="N186" s="7"/>
      <c r="O186" s="7"/>
      <c r="P186" s="7"/>
      <c r="Q186" s="7"/>
      <c r="R186" s="7"/>
      <c r="S186" s="7"/>
      <c r="T186" s="7"/>
      <c r="U186" s="7"/>
      <c r="V186" s="7"/>
      <c r="W186" s="7"/>
    </row>
    <row r="187" spans="1:23">
      <c r="A187" s="7"/>
      <c r="B187" s="8"/>
      <c r="C187" s="8"/>
      <c r="D187" s="7"/>
      <c r="E187" s="7"/>
      <c r="F187" s="7"/>
      <c r="G187" s="7"/>
      <c r="H187" s="143"/>
      <c r="I187" s="7"/>
      <c r="J187" s="7"/>
      <c r="K187" s="7"/>
      <c r="L187" s="7"/>
      <c r="M187" s="7"/>
      <c r="N187" s="7"/>
      <c r="O187" s="7"/>
      <c r="P187" s="7"/>
      <c r="Q187" s="7"/>
      <c r="R187" s="7"/>
      <c r="S187" s="7"/>
      <c r="T187" s="7"/>
      <c r="U187" s="7"/>
      <c r="V187" s="7"/>
      <c r="W187" s="7"/>
    </row>
    <row r="188" spans="1:23">
      <c r="A188" s="7"/>
      <c r="B188" s="8"/>
      <c r="C188" s="8"/>
      <c r="D188" s="7"/>
      <c r="E188" s="7"/>
      <c r="F188" s="7"/>
      <c r="G188" s="7"/>
      <c r="H188" s="143"/>
      <c r="I188" s="7"/>
      <c r="J188" s="7"/>
      <c r="K188" s="7"/>
      <c r="L188" s="7"/>
      <c r="M188" s="7"/>
      <c r="N188" s="7"/>
      <c r="O188" s="7"/>
      <c r="P188" s="7"/>
      <c r="Q188" s="7"/>
      <c r="R188" s="7"/>
      <c r="S188" s="7"/>
      <c r="T188" s="7"/>
      <c r="U188" s="7"/>
      <c r="V188" s="7"/>
      <c r="W188" s="7"/>
    </row>
    <row r="189" spans="1:23">
      <c r="A189" s="7"/>
      <c r="B189" s="8"/>
      <c r="C189" s="8"/>
      <c r="D189" s="7"/>
      <c r="E189" s="7"/>
      <c r="F189" s="7"/>
      <c r="G189" s="7"/>
      <c r="H189" s="143"/>
      <c r="I189" s="7"/>
      <c r="J189" s="7"/>
      <c r="K189" s="7"/>
      <c r="L189" s="7"/>
      <c r="M189" s="7"/>
      <c r="N189" s="7"/>
      <c r="O189" s="7"/>
      <c r="P189" s="7"/>
      <c r="Q189" s="7"/>
      <c r="R189" s="7"/>
      <c r="S189" s="7"/>
      <c r="T189" s="7"/>
      <c r="U189" s="7"/>
      <c r="V189" s="7"/>
      <c r="W189" s="7"/>
    </row>
    <row r="190" spans="1:23">
      <c r="A190" s="7"/>
      <c r="B190" s="8"/>
      <c r="C190" s="8"/>
      <c r="D190" s="7"/>
      <c r="E190" s="7"/>
      <c r="F190" s="7"/>
      <c r="G190" s="7"/>
      <c r="H190" s="143"/>
      <c r="I190" s="7"/>
      <c r="J190" s="7"/>
      <c r="K190" s="7"/>
      <c r="L190" s="7"/>
      <c r="M190" s="7"/>
      <c r="N190" s="7"/>
      <c r="O190" s="7"/>
      <c r="P190" s="7"/>
      <c r="Q190" s="7"/>
      <c r="R190" s="7"/>
      <c r="S190" s="7"/>
      <c r="T190" s="7"/>
      <c r="U190" s="7"/>
      <c r="V190" s="7"/>
      <c r="W190" s="7"/>
    </row>
    <row r="191" spans="1:23">
      <c r="A191" s="7"/>
      <c r="B191" s="8"/>
      <c r="C191" s="8"/>
      <c r="D191" s="7"/>
      <c r="E191" s="7"/>
      <c r="F191" s="7"/>
      <c r="G191" s="7"/>
      <c r="H191" s="143"/>
      <c r="I191" s="7"/>
      <c r="J191" s="7"/>
      <c r="K191" s="7"/>
      <c r="L191" s="7"/>
      <c r="M191" s="7"/>
      <c r="N191" s="7"/>
      <c r="O191" s="7"/>
      <c r="P191" s="7"/>
      <c r="Q191" s="7"/>
      <c r="R191" s="7"/>
      <c r="S191" s="7"/>
      <c r="T191" s="7"/>
      <c r="U191" s="7"/>
      <c r="V191" s="7"/>
      <c r="W191" s="7"/>
    </row>
    <row r="192" spans="1:23">
      <c r="A192" s="7"/>
      <c r="B192" s="8"/>
      <c r="C192" s="8"/>
      <c r="D192" s="7"/>
      <c r="E192" s="7"/>
      <c r="F192" s="7"/>
      <c r="G192" s="7"/>
      <c r="H192" s="143"/>
      <c r="I192" s="7"/>
      <c r="J192" s="7"/>
      <c r="K192" s="7"/>
      <c r="L192" s="7"/>
      <c r="M192" s="7"/>
      <c r="N192" s="7"/>
      <c r="O192" s="7"/>
      <c r="P192" s="7"/>
      <c r="Q192" s="7"/>
      <c r="R192" s="7"/>
      <c r="S192" s="7"/>
      <c r="T192" s="7"/>
      <c r="U192" s="7"/>
      <c r="V192" s="7"/>
      <c r="W192" s="7"/>
    </row>
    <row r="193" spans="1:23">
      <c r="A193" s="7"/>
      <c r="B193" s="8"/>
      <c r="C193" s="8"/>
      <c r="D193" s="7"/>
      <c r="E193" s="7"/>
      <c r="F193" s="7"/>
      <c r="G193" s="7"/>
      <c r="H193" s="143"/>
      <c r="I193" s="7"/>
      <c r="J193" s="7"/>
      <c r="K193" s="7"/>
      <c r="L193" s="7"/>
      <c r="M193" s="7"/>
      <c r="N193" s="7"/>
      <c r="O193" s="7"/>
      <c r="P193" s="7"/>
      <c r="Q193" s="7"/>
      <c r="R193" s="7"/>
      <c r="S193" s="7"/>
      <c r="T193" s="7"/>
      <c r="U193" s="7"/>
      <c r="V193" s="7"/>
      <c r="W193" s="7"/>
    </row>
    <row r="194" spans="1:23">
      <c r="A194" s="7"/>
      <c r="B194" s="8"/>
      <c r="C194" s="8"/>
      <c r="D194" s="7"/>
      <c r="E194" s="7"/>
      <c r="F194" s="7"/>
      <c r="G194" s="7"/>
      <c r="H194" s="143"/>
      <c r="I194" s="7"/>
      <c r="J194" s="7"/>
      <c r="K194" s="7"/>
      <c r="L194" s="7"/>
      <c r="M194" s="7"/>
      <c r="N194" s="7"/>
      <c r="O194" s="7"/>
      <c r="P194" s="7"/>
      <c r="Q194" s="7"/>
      <c r="R194" s="7"/>
      <c r="S194" s="7"/>
      <c r="T194" s="7"/>
      <c r="U194" s="7"/>
      <c r="V194" s="7"/>
      <c r="W194" s="7"/>
    </row>
    <row r="195" spans="1:23">
      <c r="A195" s="7"/>
      <c r="B195" s="8"/>
      <c r="C195" s="8"/>
      <c r="D195" s="7"/>
      <c r="E195" s="7"/>
      <c r="F195" s="7"/>
      <c r="G195" s="7"/>
      <c r="H195" s="143"/>
      <c r="I195" s="7"/>
      <c r="J195" s="7"/>
      <c r="K195" s="7"/>
      <c r="L195" s="7"/>
      <c r="M195" s="7"/>
      <c r="N195" s="7"/>
      <c r="O195" s="7"/>
      <c r="P195" s="7"/>
      <c r="Q195" s="7"/>
      <c r="R195" s="7"/>
      <c r="S195" s="7"/>
      <c r="T195" s="7"/>
      <c r="U195" s="7"/>
      <c r="V195" s="7"/>
      <c r="W195" s="7"/>
    </row>
    <row r="196" spans="1:23">
      <c r="A196" s="7"/>
      <c r="B196" s="8"/>
      <c r="C196" s="8"/>
      <c r="D196" s="7"/>
      <c r="E196" s="7"/>
      <c r="F196" s="7"/>
      <c r="G196" s="7"/>
      <c r="H196" s="143"/>
      <c r="I196" s="7"/>
      <c r="J196" s="7"/>
      <c r="K196" s="7"/>
      <c r="L196" s="7"/>
      <c r="M196" s="7"/>
      <c r="N196" s="7"/>
      <c r="O196" s="7"/>
      <c r="P196" s="7"/>
      <c r="Q196" s="7"/>
      <c r="R196" s="7"/>
      <c r="S196" s="7"/>
      <c r="T196" s="7"/>
      <c r="U196" s="7"/>
      <c r="V196" s="7"/>
      <c r="W196" s="7"/>
    </row>
    <row r="197" spans="1:23">
      <c r="A197" s="7"/>
      <c r="B197" s="8"/>
      <c r="C197" s="8"/>
      <c r="D197" s="7"/>
      <c r="E197" s="7"/>
      <c r="F197" s="7"/>
      <c r="G197" s="7"/>
      <c r="H197" s="143"/>
      <c r="I197" s="7"/>
      <c r="J197" s="7"/>
      <c r="K197" s="7"/>
      <c r="L197" s="7"/>
      <c r="M197" s="7"/>
      <c r="N197" s="7"/>
      <c r="O197" s="7"/>
      <c r="P197" s="7"/>
      <c r="Q197" s="7"/>
      <c r="R197" s="7"/>
      <c r="S197" s="7"/>
      <c r="T197" s="7"/>
      <c r="U197" s="7"/>
      <c r="V197" s="7"/>
      <c r="W197" s="7"/>
    </row>
    <row r="198" spans="1:23">
      <c r="A198" s="7"/>
      <c r="B198" s="8"/>
      <c r="C198" s="8"/>
      <c r="D198" s="7"/>
      <c r="E198" s="7"/>
      <c r="F198" s="7"/>
      <c r="G198" s="7"/>
      <c r="H198" s="143"/>
      <c r="I198" s="7"/>
      <c r="J198" s="7"/>
      <c r="K198" s="7"/>
      <c r="L198" s="7"/>
      <c r="M198" s="7"/>
      <c r="N198" s="7"/>
      <c r="O198" s="7"/>
      <c r="P198" s="7"/>
      <c r="Q198" s="7"/>
      <c r="R198" s="7"/>
      <c r="S198" s="7"/>
      <c r="T198" s="7"/>
      <c r="U198" s="7"/>
      <c r="V198" s="7"/>
      <c r="W198" s="7"/>
    </row>
    <row r="199" spans="1:23">
      <c r="A199" s="7"/>
      <c r="B199" s="8"/>
      <c r="C199" s="8"/>
      <c r="D199" s="7"/>
      <c r="E199" s="7"/>
      <c r="F199" s="7"/>
      <c r="G199" s="7"/>
      <c r="H199" s="143"/>
      <c r="I199" s="7"/>
      <c r="J199" s="7"/>
      <c r="K199" s="7"/>
      <c r="L199" s="7"/>
      <c r="M199" s="7"/>
      <c r="N199" s="7"/>
      <c r="O199" s="7"/>
      <c r="P199" s="7"/>
      <c r="Q199" s="7"/>
      <c r="R199" s="7"/>
      <c r="S199" s="7"/>
      <c r="T199" s="7"/>
      <c r="U199" s="7"/>
      <c r="V199" s="7"/>
      <c r="W199" s="7"/>
    </row>
    <row r="200" spans="1:23">
      <c r="A200" s="7"/>
      <c r="B200" s="8"/>
      <c r="C200" s="8"/>
      <c r="D200" s="7"/>
      <c r="E200" s="7"/>
      <c r="F200" s="7"/>
      <c r="G200" s="7"/>
      <c r="H200" s="143"/>
      <c r="I200" s="7"/>
      <c r="J200" s="7"/>
      <c r="K200" s="7"/>
      <c r="L200" s="7"/>
      <c r="M200" s="7"/>
      <c r="N200" s="7"/>
      <c r="O200" s="7"/>
      <c r="P200" s="7"/>
      <c r="Q200" s="7"/>
      <c r="R200" s="7"/>
      <c r="S200" s="7"/>
      <c r="T200" s="7"/>
      <c r="U200" s="7"/>
      <c r="V200" s="7"/>
      <c r="W200" s="7"/>
    </row>
    <row r="201" spans="1:23">
      <c r="A201" s="7"/>
      <c r="B201" s="8"/>
      <c r="C201" s="8"/>
      <c r="D201" s="7"/>
      <c r="E201" s="7"/>
      <c r="F201" s="7"/>
      <c r="G201" s="7"/>
      <c r="H201" s="143"/>
      <c r="I201" s="7"/>
      <c r="J201" s="7"/>
      <c r="K201" s="7"/>
      <c r="L201" s="7"/>
      <c r="M201" s="7"/>
      <c r="N201" s="7"/>
      <c r="O201" s="7"/>
      <c r="P201" s="7"/>
      <c r="Q201" s="7"/>
      <c r="R201" s="7"/>
      <c r="S201" s="7"/>
      <c r="T201" s="7"/>
      <c r="U201" s="7"/>
      <c r="V201" s="7"/>
      <c r="W201" s="7"/>
    </row>
    <row r="202" spans="1:23">
      <c r="A202" s="7"/>
      <c r="B202" s="8"/>
      <c r="C202" s="8"/>
      <c r="D202" s="7"/>
      <c r="E202" s="7"/>
      <c r="F202" s="7"/>
      <c r="G202" s="7"/>
      <c r="H202" s="143"/>
      <c r="I202" s="7"/>
      <c r="J202" s="7"/>
      <c r="K202" s="7"/>
      <c r="L202" s="7"/>
      <c r="M202" s="7"/>
      <c r="N202" s="7"/>
      <c r="O202" s="7"/>
      <c r="P202" s="7"/>
      <c r="Q202" s="7"/>
      <c r="R202" s="7"/>
      <c r="S202" s="7"/>
      <c r="T202" s="7"/>
      <c r="U202" s="7"/>
      <c r="V202" s="7"/>
      <c r="W202" s="7"/>
    </row>
    <row r="203" spans="1:23">
      <c r="A203" s="7"/>
      <c r="B203" s="8"/>
      <c r="C203" s="8"/>
      <c r="D203" s="7"/>
      <c r="E203" s="7"/>
      <c r="F203" s="7"/>
      <c r="G203" s="7"/>
      <c r="H203" s="143"/>
      <c r="I203" s="7"/>
      <c r="J203" s="7"/>
      <c r="K203" s="7"/>
      <c r="L203" s="7"/>
      <c r="M203" s="7"/>
      <c r="N203" s="7"/>
      <c r="O203" s="7"/>
      <c r="P203" s="7"/>
      <c r="Q203" s="7"/>
      <c r="R203" s="7"/>
      <c r="S203" s="7"/>
      <c r="T203" s="7"/>
      <c r="U203" s="7"/>
      <c r="V203" s="7"/>
      <c r="W203" s="7"/>
    </row>
    <row r="204" spans="1:23">
      <c r="A204" s="7"/>
      <c r="B204" s="8"/>
      <c r="C204" s="8"/>
      <c r="D204" s="7"/>
      <c r="E204" s="7"/>
      <c r="F204" s="7"/>
      <c r="G204" s="7"/>
      <c r="H204" s="143"/>
      <c r="I204" s="7"/>
      <c r="J204" s="7"/>
      <c r="K204" s="7"/>
      <c r="L204" s="7"/>
      <c r="M204" s="7"/>
      <c r="N204" s="7"/>
      <c r="O204" s="7"/>
      <c r="P204" s="7"/>
      <c r="Q204" s="7"/>
      <c r="R204" s="7"/>
      <c r="S204" s="7"/>
      <c r="T204" s="7"/>
      <c r="U204" s="7"/>
      <c r="V204" s="7"/>
      <c r="W204" s="7"/>
    </row>
    <row r="205" spans="1:23">
      <c r="A205" s="7"/>
      <c r="B205" s="8"/>
      <c r="C205" s="8"/>
      <c r="D205" s="7"/>
      <c r="E205" s="7"/>
      <c r="F205" s="7"/>
      <c r="G205" s="7"/>
      <c r="H205" s="143"/>
      <c r="I205" s="7"/>
      <c r="J205" s="7"/>
      <c r="K205" s="7"/>
      <c r="L205" s="7"/>
      <c r="M205" s="7"/>
      <c r="N205" s="7"/>
      <c r="O205" s="7"/>
      <c r="P205" s="7"/>
      <c r="Q205" s="7"/>
      <c r="R205" s="7"/>
      <c r="S205" s="7"/>
      <c r="T205" s="7"/>
      <c r="U205" s="7"/>
      <c r="V205" s="7"/>
      <c r="W205" s="7"/>
    </row>
    <row r="206" spans="1:23">
      <c r="A206" s="7"/>
      <c r="B206" s="8"/>
      <c r="C206" s="8"/>
      <c r="D206" s="7"/>
      <c r="E206" s="7"/>
      <c r="F206" s="7"/>
      <c r="G206" s="7"/>
      <c r="H206" s="143"/>
      <c r="I206" s="7"/>
      <c r="J206" s="7"/>
      <c r="K206" s="7"/>
      <c r="L206" s="7"/>
      <c r="M206" s="7"/>
      <c r="N206" s="7"/>
      <c r="O206" s="7"/>
      <c r="P206" s="7"/>
      <c r="Q206" s="7"/>
      <c r="R206" s="7"/>
      <c r="S206" s="7"/>
      <c r="T206" s="7"/>
      <c r="U206" s="7"/>
      <c r="V206" s="7"/>
      <c r="W206" s="7"/>
    </row>
    <row r="207" spans="1:23">
      <c r="A207" s="7"/>
      <c r="B207" s="8"/>
      <c r="C207" s="8"/>
      <c r="D207" s="7"/>
      <c r="E207" s="7"/>
      <c r="F207" s="7"/>
      <c r="G207" s="7"/>
      <c r="H207" s="143"/>
      <c r="I207" s="7"/>
      <c r="J207" s="7"/>
      <c r="K207" s="7"/>
      <c r="L207" s="7"/>
      <c r="M207" s="7"/>
      <c r="N207" s="7"/>
      <c r="O207" s="7"/>
      <c r="P207" s="7"/>
      <c r="Q207" s="7"/>
      <c r="R207" s="7"/>
      <c r="S207" s="7"/>
      <c r="T207" s="7"/>
      <c r="U207" s="7"/>
      <c r="V207" s="7"/>
      <c r="W207" s="7"/>
    </row>
    <row r="208" spans="1:23">
      <c r="A208" s="7"/>
      <c r="B208" s="8"/>
      <c r="C208" s="8"/>
      <c r="D208" s="7"/>
      <c r="E208" s="7"/>
      <c r="F208" s="7"/>
      <c r="G208" s="7"/>
      <c r="H208" s="143"/>
      <c r="I208" s="7"/>
      <c r="J208" s="7"/>
      <c r="K208" s="7"/>
      <c r="L208" s="7"/>
      <c r="M208" s="7"/>
      <c r="N208" s="7"/>
      <c r="O208" s="7"/>
      <c r="P208" s="7"/>
      <c r="Q208" s="7"/>
      <c r="R208" s="7"/>
      <c r="S208" s="7"/>
      <c r="T208" s="7"/>
      <c r="U208" s="7"/>
      <c r="V208" s="7"/>
      <c r="W208" s="7"/>
    </row>
    <row r="209" spans="1:23">
      <c r="A209" s="7"/>
      <c r="B209" s="8"/>
      <c r="C209" s="8"/>
      <c r="D209" s="7"/>
      <c r="E209" s="7"/>
      <c r="F209" s="7"/>
      <c r="G209" s="7"/>
      <c r="H209" s="143"/>
      <c r="I209" s="7"/>
      <c r="J209" s="7"/>
      <c r="K209" s="7"/>
      <c r="L209" s="7"/>
      <c r="M209" s="7"/>
      <c r="N209" s="7"/>
      <c r="O209" s="7"/>
      <c r="P209" s="7"/>
      <c r="Q209" s="7"/>
      <c r="R209" s="7"/>
      <c r="S209" s="7"/>
      <c r="T209" s="7"/>
      <c r="U209" s="7"/>
      <c r="V209" s="7"/>
      <c r="W209" s="7"/>
    </row>
    <row r="210" spans="1:23">
      <c r="A210" s="7"/>
      <c r="B210" s="8"/>
      <c r="C210" s="8"/>
      <c r="D210" s="7"/>
      <c r="E210" s="7"/>
      <c r="F210" s="7"/>
      <c r="G210" s="7"/>
      <c r="H210" s="143"/>
      <c r="I210" s="7"/>
      <c r="J210" s="7"/>
      <c r="K210" s="7"/>
      <c r="L210" s="7"/>
      <c r="M210" s="7"/>
      <c r="N210" s="7"/>
      <c r="O210" s="7"/>
      <c r="P210" s="7"/>
      <c r="Q210" s="7"/>
      <c r="R210" s="7"/>
      <c r="S210" s="7"/>
      <c r="T210" s="7"/>
      <c r="U210" s="7"/>
      <c r="V210" s="7"/>
      <c r="W210" s="7"/>
    </row>
    <row r="211" spans="1:23">
      <c r="A211" s="7"/>
      <c r="B211" s="8"/>
      <c r="C211" s="8"/>
      <c r="D211" s="7"/>
      <c r="E211" s="7"/>
      <c r="F211" s="7"/>
      <c r="G211" s="7"/>
      <c r="H211" s="143"/>
      <c r="I211" s="7"/>
      <c r="J211" s="7"/>
      <c r="K211" s="7"/>
      <c r="L211" s="7"/>
      <c r="M211" s="7"/>
      <c r="N211" s="7"/>
      <c r="O211" s="7"/>
      <c r="P211" s="7"/>
      <c r="Q211" s="7"/>
      <c r="R211" s="7"/>
      <c r="S211" s="7"/>
      <c r="T211" s="7"/>
      <c r="U211" s="7"/>
      <c r="V211" s="7"/>
      <c r="W211" s="7"/>
    </row>
    <row r="212" spans="1:23">
      <c r="A212" s="7"/>
      <c r="B212" s="8"/>
      <c r="C212" s="8"/>
      <c r="D212" s="7"/>
      <c r="E212" s="7"/>
      <c r="F212" s="7"/>
      <c r="G212" s="7"/>
      <c r="H212" s="143"/>
      <c r="I212" s="7"/>
      <c r="J212" s="7"/>
      <c r="K212" s="7"/>
      <c r="L212" s="7"/>
      <c r="M212" s="7"/>
      <c r="N212" s="7"/>
      <c r="O212" s="7"/>
      <c r="P212" s="7"/>
      <c r="Q212" s="7"/>
      <c r="R212" s="7"/>
      <c r="S212" s="7"/>
      <c r="T212" s="7"/>
      <c r="U212" s="7"/>
      <c r="V212" s="7"/>
      <c r="W212" s="7"/>
    </row>
    <row r="213" spans="1:23">
      <c r="A213" s="7"/>
      <c r="B213" s="8"/>
      <c r="C213" s="8"/>
      <c r="D213" s="7"/>
      <c r="E213" s="7"/>
      <c r="F213" s="7"/>
      <c r="G213" s="7"/>
      <c r="H213" s="143"/>
      <c r="I213" s="7"/>
      <c r="J213" s="7"/>
      <c r="K213" s="7"/>
      <c r="L213" s="7"/>
      <c r="M213" s="7"/>
      <c r="N213" s="7"/>
      <c r="O213" s="7"/>
      <c r="P213" s="7"/>
      <c r="Q213" s="7"/>
      <c r="R213" s="7"/>
      <c r="S213" s="7"/>
      <c r="T213" s="7"/>
      <c r="U213" s="7"/>
      <c r="V213" s="7"/>
      <c r="W213" s="7"/>
    </row>
    <row r="214" spans="1:23">
      <c r="A214" s="7"/>
      <c r="B214" s="8"/>
      <c r="C214" s="8"/>
      <c r="D214" s="7"/>
      <c r="E214" s="7"/>
      <c r="F214" s="7"/>
      <c r="G214" s="7"/>
      <c r="H214" s="143"/>
      <c r="I214" s="7"/>
      <c r="J214" s="7"/>
      <c r="K214" s="7"/>
      <c r="L214" s="7"/>
      <c r="M214" s="7"/>
      <c r="N214" s="7"/>
      <c r="O214" s="7"/>
      <c r="P214" s="7"/>
      <c r="Q214" s="7"/>
      <c r="R214" s="7"/>
      <c r="S214" s="7"/>
      <c r="T214" s="7"/>
      <c r="U214" s="7"/>
      <c r="V214" s="7"/>
      <c r="W214" s="7"/>
    </row>
    <row r="215" spans="1:23">
      <c r="A215" s="7"/>
      <c r="B215" s="8"/>
      <c r="C215" s="8"/>
      <c r="D215" s="7"/>
      <c r="E215" s="7"/>
      <c r="F215" s="7"/>
      <c r="G215" s="7"/>
      <c r="H215" s="143"/>
      <c r="I215" s="7"/>
      <c r="J215" s="7"/>
      <c r="K215" s="7"/>
      <c r="L215" s="7"/>
      <c r="M215" s="7"/>
      <c r="N215" s="7"/>
      <c r="O215" s="7"/>
      <c r="P215" s="7"/>
      <c r="Q215" s="7"/>
      <c r="R215" s="7"/>
      <c r="S215" s="7"/>
      <c r="T215" s="7"/>
      <c r="U215" s="7"/>
      <c r="V215" s="7"/>
      <c r="W215" s="7"/>
    </row>
    <row r="216" spans="1:23">
      <c r="A216" s="7"/>
      <c r="B216" s="8"/>
      <c r="C216" s="8"/>
      <c r="D216" s="7"/>
      <c r="E216" s="7"/>
      <c r="F216" s="7"/>
      <c r="G216" s="7"/>
      <c r="H216" s="143"/>
      <c r="I216" s="7"/>
      <c r="J216" s="7"/>
      <c r="K216" s="7"/>
      <c r="L216" s="7"/>
      <c r="M216" s="7"/>
      <c r="N216" s="7"/>
      <c r="O216" s="7"/>
      <c r="P216" s="7"/>
      <c r="Q216" s="7"/>
      <c r="R216" s="7"/>
      <c r="S216" s="7"/>
      <c r="T216" s="7"/>
      <c r="U216" s="7"/>
      <c r="V216" s="7"/>
      <c r="W216" s="7"/>
    </row>
    <row r="217" spans="1:23">
      <c r="A217" s="7"/>
      <c r="B217" s="8"/>
      <c r="C217" s="8"/>
      <c r="D217" s="7"/>
      <c r="E217" s="7"/>
      <c r="F217" s="7"/>
      <c r="G217" s="7"/>
      <c r="H217" s="143"/>
      <c r="I217" s="7"/>
      <c r="J217" s="7"/>
      <c r="K217" s="7"/>
      <c r="L217" s="7"/>
      <c r="M217" s="7"/>
      <c r="N217" s="7"/>
      <c r="O217" s="7"/>
      <c r="P217" s="7"/>
      <c r="Q217" s="7"/>
      <c r="R217" s="7"/>
      <c r="S217" s="7"/>
      <c r="T217" s="7"/>
      <c r="U217" s="7"/>
      <c r="V217" s="7"/>
      <c r="W217" s="7"/>
    </row>
    <row r="218" spans="1:23">
      <c r="A218" s="7"/>
      <c r="B218" s="8"/>
      <c r="C218" s="8"/>
      <c r="D218" s="7"/>
      <c r="E218" s="7"/>
      <c r="F218" s="7"/>
      <c r="G218" s="7"/>
      <c r="H218" s="143"/>
      <c r="I218" s="7"/>
      <c r="J218" s="7"/>
      <c r="K218" s="7"/>
      <c r="L218" s="7"/>
      <c r="M218" s="7"/>
      <c r="N218" s="7"/>
      <c r="O218" s="7"/>
      <c r="P218" s="7"/>
      <c r="Q218" s="7"/>
      <c r="R218" s="7"/>
      <c r="S218" s="7"/>
      <c r="T218" s="7"/>
      <c r="U218" s="7"/>
      <c r="V218" s="7"/>
      <c r="W218" s="7"/>
    </row>
    <row r="219" spans="1:23">
      <c r="A219" s="7"/>
      <c r="B219" s="8"/>
      <c r="C219" s="8"/>
      <c r="D219" s="7"/>
      <c r="E219" s="7"/>
      <c r="F219" s="7"/>
      <c r="G219" s="7"/>
      <c r="H219" s="143"/>
      <c r="I219" s="7"/>
      <c r="J219" s="7"/>
      <c r="K219" s="7"/>
      <c r="L219" s="7"/>
      <c r="M219" s="7"/>
      <c r="N219" s="7"/>
      <c r="O219" s="7"/>
      <c r="P219" s="7"/>
      <c r="Q219" s="7"/>
      <c r="R219" s="7"/>
      <c r="S219" s="7"/>
      <c r="T219" s="7"/>
      <c r="U219" s="7"/>
      <c r="V219" s="7"/>
      <c r="W219" s="7"/>
    </row>
    <row r="220" spans="1:23">
      <c r="A220" s="7"/>
      <c r="B220" s="8"/>
      <c r="C220" s="8"/>
      <c r="D220" s="7"/>
      <c r="E220" s="7"/>
      <c r="F220" s="7"/>
      <c r="G220" s="7"/>
      <c r="H220" s="143"/>
      <c r="I220" s="7"/>
      <c r="J220" s="7"/>
      <c r="K220" s="7"/>
      <c r="L220" s="7"/>
      <c r="M220" s="7"/>
      <c r="N220" s="7"/>
      <c r="O220" s="7"/>
      <c r="P220" s="7"/>
      <c r="Q220" s="7"/>
      <c r="R220" s="7"/>
      <c r="S220" s="7"/>
      <c r="T220" s="7"/>
      <c r="U220" s="7"/>
      <c r="V220" s="7"/>
      <c r="W220" s="7"/>
    </row>
    <row r="221" spans="1:23">
      <c r="A221" s="7"/>
      <c r="B221" s="8"/>
      <c r="C221" s="8"/>
      <c r="D221" s="7"/>
      <c r="E221" s="7"/>
      <c r="F221" s="7"/>
      <c r="G221" s="7"/>
      <c r="H221" s="143"/>
      <c r="I221" s="7"/>
      <c r="J221" s="7"/>
      <c r="K221" s="7"/>
      <c r="L221" s="7"/>
      <c r="M221" s="7"/>
      <c r="N221" s="7"/>
      <c r="O221" s="7"/>
      <c r="P221" s="7"/>
      <c r="Q221" s="7"/>
      <c r="R221" s="7"/>
      <c r="S221" s="7"/>
      <c r="T221" s="7"/>
      <c r="U221" s="7"/>
      <c r="V221" s="7"/>
      <c r="W221" s="7"/>
    </row>
    <row r="222" spans="1:23">
      <c r="A222" s="7"/>
      <c r="B222" s="8"/>
      <c r="C222" s="8"/>
      <c r="D222" s="7"/>
      <c r="E222" s="7"/>
      <c r="F222" s="7"/>
      <c r="G222" s="7"/>
      <c r="H222" s="143"/>
      <c r="I222" s="7"/>
      <c r="J222" s="7"/>
      <c r="K222" s="7"/>
      <c r="L222" s="7"/>
      <c r="M222" s="7"/>
      <c r="N222" s="7"/>
      <c r="O222" s="7"/>
      <c r="P222" s="7"/>
      <c r="Q222" s="7"/>
      <c r="R222" s="7"/>
      <c r="S222" s="7"/>
      <c r="T222" s="7"/>
      <c r="U222" s="7"/>
      <c r="V222" s="7"/>
      <c r="W222" s="7"/>
    </row>
    <row r="223" spans="1:23">
      <c r="A223" s="7"/>
      <c r="B223" s="8"/>
      <c r="C223" s="8"/>
      <c r="D223" s="7"/>
      <c r="E223" s="7"/>
      <c r="F223" s="7"/>
      <c r="G223" s="7"/>
      <c r="H223" s="143"/>
      <c r="I223" s="7"/>
      <c r="J223" s="7"/>
      <c r="K223" s="7"/>
      <c r="L223" s="7"/>
      <c r="M223" s="7"/>
      <c r="N223" s="7"/>
      <c r="O223" s="7"/>
      <c r="P223" s="7"/>
      <c r="Q223" s="7"/>
      <c r="R223" s="7"/>
      <c r="S223" s="7"/>
      <c r="T223" s="7"/>
      <c r="U223" s="7"/>
      <c r="V223" s="7"/>
      <c r="W223" s="7"/>
    </row>
    <row r="224" spans="1:23">
      <c r="A224" s="7"/>
      <c r="B224" s="8"/>
      <c r="C224" s="8"/>
      <c r="D224" s="7"/>
      <c r="E224" s="7"/>
      <c r="F224" s="7"/>
      <c r="G224" s="7"/>
      <c r="H224" s="143"/>
      <c r="I224" s="7"/>
      <c r="J224" s="7"/>
      <c r="K224" s="7"/>
      <c r="L224" s="7"/>
      <c r="M224" s="7"/>
      <c r="N224" s="7"/>
      <c r="O224" s="7"/>
      <c r="P224" s="7"/>
      <c r="Q224" s="7"/>
      <c r="R224" s="7"/>
      <c r="S224" s="7"/>
      <c r="T224" s="7"/>
      <c r="U224" s="7"/>
      <c r="V224" s="7"/>
      <c r="W224" s="7"/>
    </row>
    <row r="225" spans="1:23">
      <c r="A225" s="7"/>
      <c r="B225" s="8"/>
      <c r="C225" s="8"/>
      <c r="D225" s="7"/>
      <c r="E225" s="7"/>
      <c r="F225" s="7"/>
      <c r="G225" s="7"/>
      <c r="H225" s="143"/>
      <c r="I225" s="7"/>
      <c r="J225" s="7"/>
      <c r="K225" s="7"/>
      <c r="L225" s="7"/>
      <c r="M225" s="7"/>
      <c r="N225" s="7"/>
      <c r="O225" s="7"/>
      <c r="P225" s="7"/>
      <c r="Q225" s="7"/>
      <c r="R225" s="7"/>
      <c r="S225" s="7"/>
      <c r="T225" s="7"/>
      <c r="U225" s="7"/>
      <c r="V225" s="7"/>
      <c r="W225" s="7"/>
    </row>
    <row r="226" spans="1:23">
      <c r="A226" s="7"/>
      <c r="B226" s="8"/>
      <c r="C226" s="8"/>
      <c r="D226" s="7"/>
      <c r="E226" s="7"/>
      <c r="F226" s="7"/>
      <c r="G226" s="7"/>
      <c r="H226" s="143"/>
      <c r="I226" s="7"/>
      <c r="J226" s="7"/>
      <c r="K226" s="7"/>
      <c r="L226" s="7"/>
      <c r="M226" s="7"/>
      <c r="N226" s="7"/>
      <c r="O226" s="7"/>
      <c r="P226" s="7"/>
      <c r="Q226" s="7"/>
      <c r="R226" s="7"/>
      <c r="S226" s="7"/>
      <c r="T226" s="7"/>
      <c r="U226" s="7"/>
      <c r="V226" s="7"/>
      <c r="W226" s="7"/>
    </row>
    <row r="227" spans="1:23">
      <c r="A227" s="7"/>
      <c r="B227" s="8"/>
      <c r="C227" s="8"/>
      <c r="D227" s="7"/>
      <c r="E227" s="7"/>
      <c r="F227" s="7"/>
      <c r="G227" s="7"/>
      <c r="H227" s="143"/>
      <c r="I227" s="7"/>
      <c r="J227" s="7"/>
      <c r="K227" s="7"/>
      <c r="L227" s="7"/>
      <c r="M227" s="7"/>
      <c r="N227" s="7"/>
      <c r="O227" s="7"/>
      <c r="P227" s="7"/>
      <c r="Q227" s="7"/>
      <c r="R227" s="7"/>
      <c r="S227" s="7"/>
      <c r="T227" s="7"/>
      <c r="U227" s="7"/>
      <c r="V227" s="7"/>
      <c r="W227" s="7"/>
    </row>
    <row r="228" spans="1:23">
      <c r="A228" s="7"/>
      <c r="B228" s="8"/>
      <c r="C228" s="8"/>
      <c r="D228" s="7"/>
      <c r="E228" s="7"/>
      <c r="F228" s="7"/>
      <c r="G228" s="7"/>
      <c r="H228" s="143"/>
      <c r="I228" s="7"/>
      <c r="J228" s="7"/>
      <c r="K228" s="7"/>
      <c r="L228" s="7"/>
      <c r="M228" s="7"/>
      <c r="N228" s="7"/>
      <c r="O228" s="7"/>
      <c r="P228" s="7"/>
      <c r="Q228" s="7"/>
      <c r="R228" s="7"/>
      <c r="S228" s="7"/>
      <c r="T228" s="7"/>
      <c r="U228" s="7"/>
      <c r="V228" s="7"/>
      <c r="W228" s="7"/>
    </row>
    <row r="229" spans="1:23">
      <c r="A229" s="7"/>
      <c r="B229" s="8"/>
      <c r="C229" s="8"/>
      <c r="D229" s="7"/>
      <c r="E229" s="7"/>
      <c r="F229" s="7"/>
      <c r="G229" s="7"/>
      <c r="H229" s="143"/>
      <c r="I229" s="7"/>
      <c r="J229" s="7"/>
      <c r="K229" s="7"/>
      <c r="L229" s="7"/>
      <c r="M229" s="7"/>
      <c r="N229" s="7"/>
      <c r="O229" s="7"/>
      <c r="P229" s="7"/>
      <c r="Q229" s="7"/>
      <c r="R229" s="7"/>
      <c r="S229" s="7"/>
      <c r="T229" s="7"/>
      <c r="U229" s="7"/>
      <c r="V229" s="7"/>
      <c r="W229" s="7"/>
    </row>
    <row r="230" spans="1:23">
      <c r="A230" s="7"/>
      <c r="B230" s="8"/>
      <c r="C230" s="8"/>
      <c r="D230" s="7"/>
      <c r="E230" s="7"/>
      <c r="F230" s="7"/>
      <c r="G230" s="7"/>
      <c r="H230" s="143"/>
      <c r="I230" s="7"/>
      <c r="J230" s="7"/>
      <c r="K230" s="7"/>
      <c r="L230" s="7"/>
      <c r="M230" s="7"/>
      <c r="N230" s="7"/>
      <c r="O230" s="7"/>
      <c r="P230" s="7"/>
      <c r="Q230" s="7"/>
      <c r="R230" s="7"/>
      <c r="S230" s="7"/>
      <c r="T230" s="7"/>
      <c r="U230" s="7"/>
      <c r="V230" s="7"/>
      <c r="W230" s="7"/>
    </row>
    <row r="231" spans="1:23">
      <c r="A231" s="7"/>
      <c r="B231" s="8"/>
      <c r="C231" s="8"/>
      <c r="D231" s="7"/>
      <c r="E231" s="7"/>
      <c r="F231" s="7"/>
      <c r="G231" s="7"/>
      <c r="H231" s="143"/>
      <c r="I231" s="7"/>
      <c r="J231" s="7"/>
      <c r="K231" s="7"/>
      <c r="L231" s="7"/>
      <c r="M231" s="7"/>
      <c r="N231" s="7"/>
      <c r="O231" s="7"/>
      <c r="P231" s="7"/>
      <c r="Q231" s="7"/>
      <c r="R231" s="7"/>
      <c r="S231" s="7"/>
      <c r="T231" s="7"/>
      <c r="U231" s="7"/>
      <c r="V231" s="7"/>
      <c r="W231" s="7"/>
    </row>
    <row r="232" spans="1:23">
      <c r="A232" s="7"/>
      <c r="B232" s="8"/>
      <c r="C232" s="8"/>
      <c r="D232" s="7"/>
      <c r="E232" s="7"/>
      <c r="F232" s="7"/>
      <c r="G232" s="7"/>
      <c r="H232" s="143"/>
      <c r="I232" s="7"/>
      <c r="J232" s="7"/>
      <c r="K232" s="7"/>
      <c r="L232" s="7"/>
      <c r="M232" s="7"/>
      <c r="N232" s="7"/>
      <c r="O232" s="7"/>
      <c r="P232" s="7"/>
      <c r="Q232" s="7"/>
      <c r="R232" s="7"/>
      <c r="S232" s="7"/>
      <c r="T232" s="7"/>
      <c r="U232" s="7"/>
      <c r="V232" s="7"/>
      <c r="W232" s="7"/>
    </row>
    <row r="233" spans="1:23">
      <c r="A233" s="7"/>
      <c r="B233" s="8"/>
      <c r="C233" s="8"/>
      <c r="D233" s="7"/>
      <c r="E233" s="7"/>
      <c r="F233" s="7"/>
      <c r="G233" s="7"/>
      <c r="H233" s="143"/>
      <c r="I233" s="7"/>
      <c r="J233" s="7"/>
      <c r="K233" s="7"/>
      <c r="L233" s="7"/>
      <c r="M233" s="7"/>
      <c r="N233" s="7"/>
      <c r="O233" s="7"/>
      <c r="P233" s="7"/>
      <c r="Q233" s="7"/>
      <c r="R233" s="7"/>
      <c r="S233" s="7"/>
      <c r="T233" s="7"/>
      <c r="U233" s="7"/>
      <c r="V233" s="7"/>
      <c r="W233" s="7"/>
    </row>
    <row r="234" spans="1:23">
      <c r="A234" s="7"/>
      <c r="B234" s="8"/>
      <c r="C234" s="8"/>
      <c r="D234" s="7"/>
      <c r="E234" s="7"/>
      <c r="F234" s="7"/>
      <c r="G234" s="7"/>
      <c r="H234" s="143"/>
      <c r="I234" s="7"/>
      <c r="J234" s="7"/>
      <c r="K234" s="7"/>
      <c r="L234" s="7"/>
      <c r="M234" s="7"/>
      <c r="N234" s="7"/>
      <c r="O234" s="7"/>
      <c r="P234" s="7"/>
      <c r="Q234" s="7"/>
      <c r="R234" s="7"/>
      <c r="S234" s="7"/>
      <c r="T234" s="7"/>
      <c r="U234" s="7"/>
      <c r="V234" s="7"/>
      <c r="W234" s="7"/>
    </row>
    <row r="235" spans="1:23">
      <c r="A235" s="7"/>
      <c r="B235" s="8"/>
      <c r="C235" s="8"/>
      <c r="D235" s="7"/>
      <c r="E235" s="7"/>
      <c r="F235" s="7"/>
      <c r="G235" s="7"/>
      <c r="H235" s="143"/>
      <c r="I235" s="7"/>
      <c r="J235" s="7"/>
      <c r="K235" s="7"/>
      <c r="L235" s="7"/>
      <c r="M235" s="7"/>
      <c r="N235" s="7"/>
      <c r="O235" s="7"/>
      <c r="P235" s="7"/>
      <c r="Q235" s="7"/>
      <c r="R235" s="7"/>
      <c r="S235" s="7"/>
      <c r="T235" s="7"/>
      <c r="U235" s="7"/>
      <c r="V235" s="7"/>
      <c r="W235" s="7"/>
    </row>
    <row r="236" spans="1:23">
      <c r="A236" s="7"/>
      <c r="B236" s="8"/>
      <c r="C236" s="8"/>
      <c r="D236" s="7"/>
      <c r="E236" s="7"/>
      <c r="F236" s="7"/>
      <c r="G236" s="7"/>
      <c r="H236" s="143"/>
      <c r="I236" s="7"/>
      <c r="J236" s="7"/>
      <c r="K236" s="7"/>
      <c r="L236" s="7"/>
      <c r="M236" s="7"/>
      <c r="N236" s="7"/>
      <c r="O236" s="7"/>
      <c r="P236" s="7"/>
      <c r="Q236" s="7"/>
      <c r="R236" s="7"/>
      <c r="S236" s="7"/>
      <c r="T236" s="7"/>
      <c r="U236" s="7"/>
      <c r="V236" s="7"/>
      <c r="W236" s="7"/>
    </row>
    <row r="237" spans="1:23">
      <c r="A237" s="7"/>
      <c r="B237" s="8"/>
      <c r="C237" s="8"/>
      <c r="D237" s="7"/>
      <c r="E237" s="7"/>
      <c r="F237" s="7"/>
      <c r="G237" s="7"/>
      <c r="H237" s="143"/>
      <c r="I237" s="7"/>
      <c r="J237" s="7"/>
      <c r="K237" s="7"/>
      <c r="L237" s="7"/>
      <c r="M237" s="7"/>
      <c r="N237" s="7"/>
      <c r="O237" s="7"/>
      <c r="P237" s="7"/>
      <c r="Q237" s="7"/>
      <c r="R237" s="7"/>
      <c r="S237" s="7"/>
      <c r="T237" s="7"/>
      <c r="U237" s="7"/>
      <c r="V237" s="7"/>
      <c r="W237" s="7"/>
    </row>
    <row r="238" spans="1:23">
      <c r="A238" s="7"/>
      <c r="B238" s="8"/>
      <c r="C238" s="8"/>
      <c r="D238" s="7"/>
      <c r="E238" s="7"/>
      <c r="F238" s="7"/>
      <c r="G238" s="7"/>
      <c r="H238" s="143"/>
      <c r="I238" s="7"/>
      <c r="J238" s="7"/>
      <c r="K238" s="7"/>
      <c r="L238" s="7"/>
      <c r="M238" s="7"/>
      <c r="N238" s="7"/>
      <c r="O238" s="7"/>
      <c r="P238" s="7"/>
      <c r="Q238" s="7"/>
      <c r="R238" s="7"/>
      <c r="S238" s="7"/>
      <c r="T238" s="7"/>
      <c r="U238" s="7"/>
      <c r="V238" s="7"/>
      <c r="W238" s="7"/>
    </row>
    <row r="239" spans="1:23">
      <c r="A239" s="7"/>
      <c r="B239" s="8"/>
      <c r="C239" s="8"/>
      <c r="D239" s="7"/>
      <c r="E239" s="7"/>
      <c r="F239" s="7"/>
      <c r="G239" s="7"/>
      <c r="H239" s="143"/>
      <c r="I239" s="7"/>
      <c r="J239" s="7"/>
      <c r="K239" s="7"/>
      <c r="L239" s="7"/>
      <c r="M239" s="7"/>
      <c r="N239" s="7"/>
      <c r="O239" s="7"/>
      <c r="P239" s="7"/>
      <c r="Q239" s="7"/>
      <c r="R239" s="7"/>
      <c r="S239" s="7"/>
      <c r="T239" s="7"/>
      <c r="U239" s="7"/>
      <c r="V239" s="7"/>
      <c r="W239" s="7"/>
    </row>
    <row r="240" spans="1:23">
      <c r="A240" s="7"/>
      <c r="B240" s="8"/>
      <c r="C240" s="8"/>
      <c r="D240" s="7"/>
      <c r="E240" s="7"/>
      <c r="F240" s="7"/>
      <c r="G240" s="7"/>
      <c r="H240" s="143"/>
      <c r="I240" s="7"/>
      <c r="J240" s="7"/>
      <c r="K240" s="7"/>
      <c r="L240" s="7"/>
      <c r="M240" s="7"/>
      <c r="N240" s="7"/>
      <c r="O240" s="7"/>
      <c r="P240" s="7"/>
      <c r="Q240" s="7"/>
      <c r="R240" s="7"/>
      <c r="S240" s="7"/>
      <c r="T240" s="7"/>
      <c r="U240" s="7"/>
      <c r="V240" s="7"/>
      <c r="W240" s="7"/>
    </row>
    <row r="241" spans="1:23">
      <c r="A241" s="7"/>
      <c r="B241" s="8"/>
      <c r="C241" s="8"/>
      <c r="D241" s="7"/>
      <c r="E241" s="7"/>
      <c r="F241" s="7"/>
      <c r="G241" s="7"/>
      <c r="H241" s="143"/>
      <c r="I241" s="7"/>
      <c r="J241" s="7"/>
      <c r="K241" s="7"/>
      <c r="L241" s="7"/>
      <c r="M241" s="7"/>
      <c r="N241" s="7"/>
      <c r="O241" s="7"/>
      <c r="P241" s="7"/>
      <c r="Q241" s="7"/>
      <c r="R241" s="7"/>
      <c r="S241" s="7"/>
      <c r="T241" s="7"/>
      <c r="U241" s="7"/>
      <c r="V241" s="7"/>
      <c r="W241" s="7"/>
    </row>
    <row r="242" spans="1:23">
      <c r="A242" s="7"/>
      <c r="B242" s="8"/>
      <c r="C242" s="8"/>
      <c r="D242" s="7"/>
      <c r="E242" s="7"/>
      <c r="F242" s="7"/>
      <c r="G242" s="7"/>
      <c r="H242" s="143"/>
      <c r="I242" s="7"/>
      <c r="J242" s="7"/>
      <c r="K242" s="7"/>
      <c r="L242" s="7"/>
      <c r="M242" s="7"/>
      <c r="N242" s="7"/>
      <c r="O242" s="7"/>
      <c r="P242" s="7"/>
      <c r="Q242" s="7"/>
      <c r="R242" s="7"/>
      <c r="S242" s="7"/>
      <c r="T242" s="7"/>
      <c r="U242" s="7"/>
      <c r="V242" s="7"/>
      <c r="W242" s="7"/>
    </row>
    <row r="243" spans="1:23">
      <c r="A243" s="7"/>
      <c r="B243" s="8"/>
      <c r="C243" s="8"/>
      <c r="D243" s="7"/>
      <c r="E243" s="7"/>
      <c r="F243" s="7"/>
      <c r="G243" s="7"/>
      <c r="H243" s="143"/>
      <c r="I243" s="7"/>
      <c r="J243" s="7"/>
      <c r="K243" s="7"/>
      <c r="L243" s="7"/>
      <c r="M243" s="7"/>
      <c r="N243" s="7"/>
      <c r="O243" s="7"/>
      <c r="P243" s="7"/>
      <c r="Q243" s="7"/>
      <c r="R243" s="7"/>
      <c r="S243" s="7"/>
      <c r="T243" s="7"/>
      <c r="U243" s="7"/>
      <c r="V243" s="7"/>
      <c r="W243" s="7"/>
    </row>
    <row r="244" spans="1:23">
      <c r="A244" s="7"/>
      <c r="B244" s="8"/>
      <c r="C244" s="8"/>
      <c r="D244" s="7"/>
      <c r="E244" s="7"/>
      <c r="F244" s="7"/>
      <c r="G244" s="7"/>
      <c r="H244" s="143"/>
      <c r="I244" s="7"/>
      <c r="J244" s="7"/>
      <c r="K244" s="7"/>
      <c r="L244" s="7"/>
      <c r="M244" s="7"/>
      <c r="N244" s="7"/>
      <c r="O244" s="7"/>
      <c r="P244" s="7"/>
      <c r="Q244" s="7"/>
      <c r="R244" s="7"/>
      <c r="S244" s="7"/>
      <c r="T244" s="7"/>
      <c r="U244" s="7"/>
      <c r="V244" s="7"/>
      <c r="W244" s="7"/>
    </row>
    <row r="245" spans="1:23">
      <c r="A245" s="7"/>
      <c r="B245" s="8"/>
      <c r="C245" s="8"/>
      <c r="D245" s="7"/>
      <c r="E245" s="7"/>
      <c r="F245" s="7"/>
      <c r="G245" s="7"/>
      <c r="H245" s="143"/>
      <c r="I245" s="7"/>
      <c r="J245" s="7"/>
      <c r="K245" s="7"/>
      <c r="L245" s="7"/>
      <c r="M245" s="7"/>
      <c r="N245" s="7"/>
      <c r="O245" s="7"/>
      <c r="P245" s="7"/>
      <c r="Q245" s="7"/>
      <c r="R245" s="7"/>
      <c r="S245" s="7"/>
      <c r="T245" s="7"/>
      <c r="U245" s="7"/>
      <c r="V245" s="7"/>
      <c r="W245" s="7"/>
    </row>
    <row r="246" spans="1:23">
      <c r="A246" s="7"/>
      <c r="B246" s="8"/>
      <c r="C246" s="8"/>
      <c r="D246" s="7"/>
      <c r="E246" s="7"/>
      <c r="F246" s="7"/>
      <c r="G246" s="7"/>
      <c r="H246" s="143"/>
      <c r="I246" s="7"/>
      <c r="J246" s="7"/>
      <c r="K246" s="7"/>
      <c r="L246" s="7"/>
      <c r="M246" s="7"/>
      <c r="N246" s="7"/>
      <c r="O246" s="7"/>
      <c r="P246" s="7"/>
      <c r="Q246" s="7"/>
      <c r="R246" s="7"/>
      <c r="S246" s="7"/>
      <c r="T246" s="7"/>
      <c r="U246" s="7"/>
      <c r="V246" s="7"/>
      <c r="W246" s="7"/>
    </row>
    <row r="247" spans="1:23">
      <c r="A247" s="7"/>
      <c r="B247" s="8"/>
      <c r="C247" s="8"/>
      <c r="D247" s="7"/>
      <c r="E247" s="7"/>
      <c r="F247" s="7"/>
      <c r="G247" s="7"/>
      <c r="H247" s="143"/>
      <c r="I247" s="7"/>
      <c r="J247" s="7"/>
      <c r="K247" s="7"/>
      <c r="L247" s="7"/>
      <c r="M247" s="7"/>
      <c r="N247" s="7"/>
      <c r="O247" s="7"/>
      <c r="P247" s="7"/>
      <c r="Q247" s="7"/>
      <c r="R247" s="7"/>
      <c r="S247" s="7"/>
      <c r="T247" s="7"/>
      <c r="U247" s="7"/>
      <c r="V247" s="7"/>
      <c r="W247" s="7"/>
    </row>
    <row r="248" spans="1:23">
      <c r="A248" s="7"/>
      <c r="B248" s="8"/>
      <c r="C248" s="8"/>
      <c r="D248" s="7"/>
      <c r="E248" s="7"/>
      <c r="F248" s="7"/>
      <c r="G248" s="7"/>
      <c r="H248" s="143"/>
      <c r="I248" s="7"/>
      <c r="J248" s="7"/>
      <c r="K248" s="7"/>
      <c r="L248" s="7"/>
      <c r="M248" s="7"/>
      <c r="N248" s="7"/>
      <c r="O248" s="7"/>
      <c r="P248" s="7"/>
      <c r="Q248" s="7"/>
      <c r="R248" s="7"/>
      <c r="S248" s="7"/>
      <c r="T248" s="7"/>
      <c r="U248" s="7"/>
      <c r="V248" s="7"/>
      <c r="W248" s="7"/>
    </row>
    <row r="249" spans="1:23">
      <c r="A249" s="7"/>
      <c r="B249" s="8"/>
      <c r="C249" s="8"/>
      <c r="D249" s="7"/>
      <c r="E249" s="7"/>
      <c r="F249" s="7"/>
      <c r="G249" s="7"/>
      <c r="H249" s="143"/>
      <c r="I249" s="7"/>
      <c r="J249" s="7"/>
      <c r="K249" s="7"/>
      <c r="L249" s="7"/>
      <c r="M249" s="7"/>
      <c r="N249" s="7"/>
      <c r="O249" s="7"/>
      <c r="P249" s="7"/>
      <c r="Q249" s="7"/>
      <c r="R249" s="7"/>
      <c r="S249" s="7"/>
      <c r="T249" s="7"/>
      <c r="U249" s="7"/>
      <c r="V249" s="7"/>
      <c r="W249" s="7"/>
    </row>
    <row r="250" spans="1:23">
      <c r="A250" s="7"/>
      <c r="B250" s="8"/>
      <c r="C250" s="8"/>
      <c r="D250" s="7"/>
      <c r="E250" s="7"/>
      <c r="F250" s="7"/>
      <c r="G250" s="7"/>
      <c r="H250" s="143"/>
      <c r="I250" s="7"/>
      <c r="J250" s="7"/>
      <c r="K250" s="7"/>
      <c r="L250" s="7"/>
      <c r="M250" s="7"/>
      <c r="N250" s="7"/>
      <c r="O250" s="7"/>
      <c r="P250" s="7"/>
      <c r="Q250" s="7"/>
      <c r="R250" s="7"/>
      <c r="S250" s="7"/>
      <c r="T250" s="7"/>
      <c r="U250" s="7"/>
      <c r="V250" s="7"/>
      <c r="W250" s="7"/>
    </row>
    <row r="251" spans="1:23">
      <c r="A251" s="7"/>
      <c r="B251" s="8"/>
      <c r="C251" s="8"/>
      <c r="D251" s="7"/>
      <c r="E251" s="7"/>
      <c r="F251" s="7"/>
      <c r="G251" s="7"/>
      <c r="H251" s="143"/>
      <c r="I251" s="7"/>
      <c r="J251" s="7"/>
      <c r="K251" s="7"/>
      <c r="L251" s="7"/>
      <c r="M251" s="7"/>
      <c r="N251" s="7"/>
      <c r="O251" s="7"/>
      <c r="P251" s="7"/>
      <c r="Q251" s="7"/>
      <c r="R251" s="7"/>
      <c r="S251" s="7"/>
      <c r="T251" s="7"/>
      <c r="U251" s="7"/>
      <c r="V251" s="7"/>
      <c r="W251" s="7"/>
    </row>
    <row r="252" spans="1:23">
      <c r="A252" s="7"/>
      <c r="B252" s="8"/>
      <c r="C252" s="8"/>
      <c r="D252" s="7"/>
      <c r="E252" s="7"/>
      <c r="F252" s="7"/>
      <c r="G252" s="7"/>
      <c r="H252" s="143"/>
      <c r="I252" s="7"/>
      <c r="J252" s="7"/>
      <c r="K252" s="7"/>
      <c r="L252" s="7"/>
      <c r="M252" s="7"/>
      <c r="N252" s="7"/>
      <c r="O252" s="7"/>
      <c r="P252" s="7"/>
      <c r="Q252" s="7"/>
      <c r="R252" s="7"/>
      <c r="S252" s="7"/>
      <c r="T252" s="7"/>
      <c r="U252" s="7"/>
      <c r="V252" s="7"/>
      <c r="W252" s="7"/>
    </row>
    <row r="253" spans="1:23">
      <c r="A253" s="7"/>
      <c r="B253" s="8"/>
      <c r="C253" s="8"/>
      <c r="D253" s="7"/>
      <c r="E253" s="7"/>
      <c r="F253" s="7"/>
      <c r="G253" s="7"/>
      <c r="H253" s="143"/>
      <c r="I253" s="7"/>
      <c r="J253" s="7"/>
      <c r="K253" s="7"/>
      <c r="L253" s="7"/>
      <c r="M253" s="7"/>
      <c r="N253" s="7"/>
      <c r="O253" s="7"/>
      <c r="P253" s="7"/>
      <c r="Q253" s="7"/>
      <c r="R253" s="7"/>
      <c r="S253" s="7"/>
      <c r="T253" s="7"/>
      <c r="U253" s="7"/>
      <c r="V253" s="7"/>
      <c r="W253" s="7"/>
    </row>
    <row r="254" spans="1:23">
      <c r="A254" s="7"/>
      <c r="B254" s="8"/>
      <c r="C254" s="8"/>
      <c r="D254" s="7"/>
      <c r="E254" s="7"/>
      <c r="F254" s="7"/>
      <c r="G254" s="7"/>
      <c r="H254" s="143"/>
      <c r="I254" s="7"/>
      <c r="J254" s="7"/>
      <c r="K254" s="7"/>
      <c r="L254" s="7"/>
      <c r="M254" s="7"/>
      <c r="N254" s="7"/>
      <c r="O254" s="7"/>
      <c r="P254" s="7"/>
      <c r="Q254" s="7"/>
      <c r="R254" s="7"/>
      <c r="S254" s="7"/>
      <c r="T254" s="7"/>
      <c r="U254" s="7"/>
      <c r="V254" s="7"/>
      <c r="W254" s="7"/>
    </row>
    <row r="255" spans="1:23">
      <c r="A255" s="7"/>
      <c r="B255" s="8"/>
      <c r="C255" s="8"/>
      <c r="D255" s="7"/>
      <c r="E255" s="7"/>
      <c r="F255" s="7"/>
      <c r="G255" s="7"/>
      <c r="H255" s="143"/>
      <c r="I255" s="7"/>
      <c r="J255" s="7"/>
      <c r="K255" s="7"/>
      <c r="L255" s="7"/>
      <c r="M255" s="7"/>
      <c r="N255" s="7"/>
      <c r="O255" s="7"/>
      <c r="P255" s="7"/>
      <c r="Q255" s="7"/>
      <c r="R255" s="7"/>
      <c r="S255" s="7"/>
      <c r="T255" s="7"/>
      <c r="U255" s="7"/>
      <c r="V255" s="7"/>
      <c r="W255" s="7"/>
    </row>
    <row r="256" spans="1:23">
      <c r="A256" s="7"/>
      <c r="B256" s="8"/>
      <c r="C256" s="8"/>
      <c r="D256" s="7"/>
      <c r="E256" s="7"/>
      <c r="F256" s="7"/>
      <c r="G256" s="7"/>
      <c r="H256" s="143"/>
      <c r="I256" s="7"/>
      <c r="J256" s="7"/>
      <c r="K256" s="7"/>
      <c r="L256" s="7"/>
      <c r="M256" s="7"/>
      <c r="N256" s="7"/>
      <c r="O256" s="7"/>
      <c r="P256" s="7"/>
      <c r="Q256" s="7"/>
      <c r="R256" s="7"/>
      <c r="S256" s="7"/>
      <c r="T256" s="7"/>
      <c r="U256" s="7"/>
      <c r="V256" s="7"/>
      <c r="W256" s="7"/>
    </row>
    <row r="257" spans="1:23">
      <c r="A257" s="7"/>
      <c r="B257" s="8"/>
      <c r="C257" s="8"/>
      <c r="D257" s="7"/>
      <c r="E257" s="7"/>
      <c r="F257" s="7"/>
      <c r="G257" s="7"/>
      <c r="H257" s="143"/>
      <c r="I257" s="7"/>
      <c r="J257" s="7"/>
      <c r="K257" s="7"/>
      <c r="L257" s="7"/>
      <c r="M257" s="7"/>
      <c r="N257" s="7"/>
      <c r="O257" s="7"/>
      <c r="P257" s="7"/>
      <c r="Q257" s="7"/>
      <c r="R257" s="7"/>
      <c r="S257" s="7"/>
      <c r="T257" s="7"/>
      <c r="U257" s="7"/>
      <c r="V257" s="7"/>
      <c r="W257" s="7"/>
    </row>
    <row r="258" spans="1:23">
      <c r="A258" s="7"/>
      <c r="B258" s="8"/>
      <c r="C258" s="8"/>
      <c r="D258" s="7"/>
      <c r="E258" s="7"/>
      <c r="F258" s="7"/>
      <c r="G258" s="7"/>
      <c r="H258" s="143"/>
      <c r="I258" s="7"/>
      <c r="J258" s="7"/>
      <c r="K258" s="7"/>
      <c r="L258" s="7"/>
      <c r="M258" s="7"/>
      <c r="N258" s="7"/>
      <c r="O258" s="7"/>
      <c r="P258" s="7"/>
      <c r="Q258" s="7"/>
      <c r="R258" s="7"/>
      <c r="S258" s="7"/>
      <c r="T258" s="7"/>
      <c r="U258" s="7"/>
      <c r="V258" s="7"/>
      <c r="W258" s="7"/>
    </row>
    <row r="259" spans="1:23">
      <c r="A259" s="7"/>
      <c r="B259" s="8"/>
      <c r="C259" s="8"/>
      <c r="D259" s="7"/>
      <c r="E259" s="7"/>
      <c r="F259" s="7"/>
      <c r="G259" s="7"/>
      <c r="H259" s="143"/>
      <c r="I259" s="7"/>
      <c r="J259" s="7"/>
      <c r="K259" s="7"/>
      <c r="L259" s="7"/>
      <c r="M259" s="7"/>
      <c r="N259" s="7"/>
      <c r="O259" s="7"/>
      <c r="P259" s="7"/>
      <c r="Q259" s="7"/>
      <c r="R259" s="7"/>
      <c r="S259" s="7"/>
      <c r="T259" s="7"/>
      <c r="U259" s="7"/>
      <c r="V259" s="7"/>
      <c r="W259" s="7"/>
    </row>
    <row r="260" spans="1:23">
      <c r="A260" s="7"/>
      <c r="B260" s="8"/>
      <c r="C260" s="8"/>
      <c r="D260" s="7"/>
      <c r="E260" s="7"/>
      <c r="F260" s="7"/>
      <c r="G260" s="7"/>
      <c r="H260" s="143"/>
      <c r="I260" s="7"/>
      <c r="J260" s="7"/>
      <c r="K260" s="7"/>
      <c r="L260" s="7"/>
      <c r="M260" s="7"/>
      <c r="N260" s="7"/>
      <c r="O260" s="7"/>
      <c r="P260" s="7"/>
      <c r="Q260" s="7"/>
      <c r="R260" s="7"/>
      <c r="S260" s="7"/>
      <c r="T260" s="7"/>
      <c r="U260" s="7"/>
      <c r="V260" s="7"/>
      <c r="W260" s="7"/>
    </row>
    <row r="261" spans="1:23">
      <c r="A261" s="7"/>
      <c r="B261" s="8"/>
      <c r="C261" s="8"/>
      <c r="D261" s="7"/>
      <c r="E261" s="7"/>
      <c r="F261" s="7"/>
      <c r="G261" s="7"/>
      <c r="H261" s="143"/>
      <c r="I261" s="7"/>
      <c r="J261" s="7"/>
      <c r="K261" s="7"/>
      <c r="L261" s="7"/>
      <c r="M261" s="7"/>
      <c r="N261" s="7"/>
      <c r="O261" s="7"/>
      <c r="P261" s="7"/>
      <c r="Q261" s="7"/>
      <c r="R261" s="7"/>
      <c r="S261" s="7"/>
      <c r="T261" s="7"/>
      <c r="U261" s="7"/>
      <c r="V261" s="7"/>
      <c r="W261" s="7"/>
    </row>
    <row r="262" spans="1:23">
      <c r="A262" s="7"/>
      <c r="B262" s="8"/>
      <c r="C262" s="8"/>
      <c r="D262" s="7"/>
      <c r="E262" s="7"/>
      <c r="F262" s="7"/>
      <c r="G262" s="7"/>
      <c r="H262" s="143"/>
      <c r="I262" s="7"/>
      <c r="J262" s="7"/>
      <c r="K262" s="7"/>
      <c r="L262" s="7"/>
      <c r="M262" s="7"/>
      <c r="N262" s="7"/>
      <c r="O262" s="7"/>
      <c r="P262" s="7"/>
      <c r="Q262" s="7"/>
      <c r="R262" s="7"/>
      <c r="S262" s="7"/>
      <c r="T262" s="7"/>
      <c r="U262" s="7"/>
      <c r="V262" s="7"/>
      <c r="W262" s="7"/>
    </row>
    <row r="263" spans="1:23">
      <c r="A263" s="7"/>
      <c r="B263" s="8"/>
      <c r="C263" s="8"/>
      <c r="D263" s="7"/>
      <c r="E263" s="7"/>
      <c r="F263" s="7"/>
      <c r="G263" s="7"/>
      <c r="H263" s="143"/>
      <c r="I263" s="7"/>
      <c r="J263" s="7"/>
      <c r="K263" s="7"/>
      <c r="L263" s="7"/>
      <c r="M263" s="7"/>
      <c r="N263" s="7"/>
      <c r="O263" s="7"/>
      <c r="P263" s="7"/>
      <c r="Q263" s="7"/>
      <c r="R263" s="7"/>
      <c r="S263" s="7"/>
      <c r="T263" s="7"/>
      <c r="U263" s="7"/>
      <c r="V263" s="7"/>
      <c r="W263" s="7"/>
    </row>
    <row r="264" spans="1:23">
      <c r="A264" s="7"/>
      <c r="B264" s="8"/>
      <c r="C264" s="8"/>
      <c r="D264" s="7"/>
      <c r="E264" s="7"/>
      <c r="F264" s="7"/>
      <c r="G264" s="7"/>
      <c r="H264" s="143"/>
      <c r="I264" s="7"/>
      <c r="J264" s="7"/>
      <c r="K264" s="7"/>
      <c r="L264" s="7"/>
      <c r="M264" s="7"/>
      <c r="N264" s="7"/>
      <c r="O264" s="7"/>
      <c r="P264" s="7"/>
      <c r="Q264" s="7"/>
      <c r="R264" s="7"/>
      <c r="S264" s="7"/>
      <c r="T264" s="7"/>
      <c r="U264" s="7"/>
      <c r="V264" s="7"/>
      <c r="W264" s="7"/>
    </row>
    <row r="265" spans="1:23">
      <c r="A265" s="7"/>
      <c r="B265" s="8"/>
      <c r="C265" s="8"/>
      <c r="D265" s="7"/>
      <c r="E265" s="7"/>
      <c r="F265" s="7"/>
      <c r="G265" s="7"/>
      <c r="H265" s="143"/>
      <c r="I265" s="7"/>
      <c r="J265" s="7"/>
      <c r="K265" s="7"/>
      <c r="L265" s="7"/>
      <c r="M265" s="7"/>
      <c r="N265" s="7"/>
      <c r="O265" s="7"/>
      <c r="P265" s="7"/>
      <c r="Q265" s="7"/>
      <c r="R265" s="7"/>
      <c r="S265" s="7"/>
      <c r="T265" s="7"/>
      <c r="U265" s="7"/>
      <c r="V265" s="7"/>
      <c r="W265" s="7"/>
    </row>
    <row r="266" spans="1:23">
      <c r="A266" s="7"/>
      <c r="B266" s="8"/>
      <c r="C266" s="8"/>
      <c r="D266" s="7"/>
      <c r="E266" s="7"/>
      <c r="F266" s="7"/>
      <c r="G266" s="7"/>
      <c r="H266" s="143"/>
      <c r="I266" s="7"/>
      <c r="J266" s="7"/>
      <c r="K266" s="7"/>
      <c r="L266" s="7"/>
      <c r="M266" s="7"/>
      <c r="N266" s="7"/>
      <c r="O266" s="7"/>
      <c r="P266" s="7"/>
      <c r="Q266" s="7"/>
      <c r="R266" s="7"/>
      <c r="S266" s="7"/>
      <c r="T266" s="7"/>
      <c r="U266" s="7"/>
      <c r="V266" s="7"/>
      <c r="W266" s="7"/>
    </row>
    <row r="267" spans="1:23">
      <c r="A267" s="7"/>
      <c r="B267" s="8"/>
      <c r="C267" s="8"/>
      <c r="D267" s="7"/>
      <c r="E267" s="7"/>
      <c r="F267" s="7"/>
      <c r="G267" s="7"/>
      <c r="H267" s="143"/>
      <c r="I267" s="7"/>
      <c r="J267" s="7"/>
      <c r="K267" s="7"/>
      <c r="L267" s="7"/>
      <c r="M267" s="7"/>
      <c r="N267" s="7"/>
      <c r="O267" s="7"/>
      <c r="P267" s="7"/>
      <c r="Q267" s="7"/>
      <c r="R267" s="7"/>
      <c r="S267" s="7"/>
      <c r="T267" s="7"/>
      <c r="U267" s="7"/>
      <c r="V267" s="7"/>
      <c r="W267" s="7"/>
    </row>
    <row r="268" spans="1:23">
      <c r="A268" s="7"/>
      <c r="B268" s="8"/>
      <c r="C268" s="8"/>
      <c r="D268" s="7"/>
      <c r="E268" s="7"/>
      <c r="F268" s="7"/>
      <c r="G268" s="7"/>
      <c r="H268" s="143"/>
      <c r="I268" s="7"/>
      <c r="J268" s="7"/>
      <c r="K268" s="7"/>
      <c r="L268" s="7"/>
      <c r="M268" s="7"/>
      <c r="N268" s="7"/>
      <c r="O268" s="7"/>
      <c r="P268" s="7"/>
      <c r="Q268" s="7"/>
      <c r="R268" s="7"/>
      <c r="S268" s="7"/>
      <c r="T268" s="7"/>
      <c r="U268" s="7"/>
      <c r="V268" s="7"/>
      <c r="W268" s="7"/>
    </row>
    <row r="269" spans="1:23">
      <c r="A269" s="7"/>
      <c r="B269" s="8"/>
      <c r="C269" s="8"/>
      <c r="D269" s="7"/>
      <c r="E269" s="7"/>
      <c r="F269" s="7"/>
      <c r="G269" s="7"/>
      <c r="H269" s="143"/>
      <c r="I269" s="7"/>
      <c r="J269" s="7"/>
      <c r="K269" s="7"/>
      <c r="L269" s="7"/>
      <c r="M269" s="7"/>
      <c r="N269" s="7"/>
      <c r="O269" s="7"/>
      <c r="P269" s="7"/>
      <c r="Q269" s="7"/>
      <c r="R269" s="7"/>
      <c r="S269" s="7"/>
      <c r="T269" s="7"/>
      <c r="U269" s="7"/>
      <c r="V269" s="7"/>
      <c r="W269" s="7"/>
    </row>
    <row r="270" spans="1:23">
      <c r="A270" s="7"/>
      <c r="B270" s="8"/>
      <c r="C270" s="8"/>
      <c r="D270" s="7"/>
      <c r="E270" s="7"/>
      <c r="F270" s="7"/>
      <c r="G270" s="7"/>
      <c r="H270" s="143"/>
      <c r="I270" s="7"/>
      <c r="J270" s="7"/>
      <c r="K270" s="7"/>
      <c r="L270" s="7"/>
      <c r="M270" s="7"/>
      <c r="N270" s="7"/>
      <c r="O270" s="7"/>
      <c r="P270" s="7"/>
      <c r="Q270" s="7"/>
      <c r="R270" s="7"/>
      <c r="S270" s="7"/>
      <c r="T270" s="7"/>
      <c r="U270" s="7"/>
      <c r="V270" s="7"/>
      <c r="W270" s="7"/>
    </row>
    <row r="271" spans="1:23">
      <c r="A271" s="7"/>
      <c r="B271" s="8"/>
      <c r="C271" s="8"/>
      <c r="D271" s="7"/>
      <c r="E271" s="7"/>
      <c r="F271" s="7"/>
      <c r="G271" s="7"/>
      <c r="H271" s="143"/>
      <c r="I271" s="7"/>
      <c r="J271" s="7"/>
      <c r="K271" s="7"/>
      <c r="L271" s="7"/>
      <c r="M271" s="7"/>
      <c r="N271" s="7"/>
      <c r="O271" s="7"/>
      <c r="P271" s="7"/>
      <c r="Q271" s="7"/>
      <c r="R271" s="7"/>
      <c r="S271" s="7"/>
      <c r="T271" s="7"/>
      <c r="U271" s="7"/>
      <c r="V271" s="7"/>
      <c r="W271" s="7"/>
    </row>
    <row r="272" spans="1:23">
      <c r="A272" s="7"/>
      <c r="B272" s="8"/>
      <c r="C272" s="8"/>
      <c r="D272" s="7"/>
      <c r="E272" s="7"/>
      <c r="F272" s="7"/>
      <c r="G272" s="7"/>
      <c r="H272" s="143"/>
      <c r="I272" s="7"/>
      <c r="J272" s="7"/>
      <c r="K272" s="7"/>
      <c r="L272" s="7"/>
      <c r="M272" s="7"/>
      <c r="N272" s="7"/>
      <c r="O272" s="7"/>
      <c r="P272" s="7"/>
      <c r="Q272" s="7"/>
      <c r="R272" s="7"/>
      <c r="S272" s="7"/>
      <c r="T272" s="7"/>
      <c r="U272" s="7"/>
      <c r="V272" s="7"/>
      <c r="W272" s="7"/>
    </row>
    <row r="273" spans="1:23">
      <c r="A273" s="7"/>
      <c r="B273" s="8"/>
      <c r="C273" s="8"/>
      <c r="D273" s="7"/>
      <c r="E273" s="7"/>
      <c r="F273" s="7"/>
      <c r="G273" s="7"/>
      <c r="H273" s="143"/>
      <c r="I273" s="7"/>
      <c r="J273" s="7"/>
      <c r="K273" s="7"/>
      <c r="L273" s="7"/>
      <c r="M273" s="7"/>
      <c r="N273" s="7"/>
      <c r="O273" s="7"/>
      <c r="P273" s="7"/>
      <c r="Q273" s="7"/>
      <c r="R273" s="7"/>
      <c r="S273" s="7"/>
      <c r="T273" s="7"/>
      <c r="U273" s="7"/>
      <c r="V273" s="7"/>
      <c r="W273" s="7"/>
    </row>
    <row r="274" spans="1:23">
      <c r="A274" s="7"/>
      <c r="B274" s="8"/>
      <c r="C274" s="8"/>
      <c r="D274" s="7"/>
      <c r="E274" s="7"/>
      <c r="F274" s="7"/>
      <c r="G274" s="7"/>
      <c r="H274" s="143"/>
      <c r="I274" s="7"/>
      <c r="J274" s="7"/>
      <c r="K274" s="7"/>
      <c r="L274" s="7"/>
      <c r="M274" s="7"/>
      <c r="N274" s="7"/>
      <c r="O274" s="7"/>
      <c r="P274" s="7"/>
      <c r="Q274" s="7"/>
      <c r="R274" s="7"/>
      <c r="S274" s="7"/>
      <c r="T274" s="7"/>
      <c r="U274" s="7"/>
      <c r="V274" s="7"/>
      <c r="W274" s="7"/>
    </row>
    <row r="275" spans="1:23">
      <c r="A275" s="7"/>
      <c r="B275" s="8"/>
      <c r="C275" s="8"/>
      <c r="D275" s="7"/>
      <c r="E275" s="7"/>
      <c r="F275" s="7"/>
      <c r="G275" s="7"/>
      <c r="H275" s="143"/>
      <c r="I275" s="7"/>
      <c r="J275" s="7"/>
      <c r="K275" s="7"/>
      <c r="L275" s="7"/>
      <c r="M275" s="7"/>
      <c r="N275" s="7"/>
      <c r="O275" s="7"/>
      <c r="P275" s="7"/>
      <c r="Q275" s="7"/>
      <c r="R275" s="7"/>
      <c r="S275" s="7"/>
      <c r="T275" s="7"/>
      <c r="U275" s="7"/>
      <c r="V275" s="7"/>
      <c r="W275" s="7"/>
    </row>
    <row r="276" spans="1:23">
      <c r="A276" s="7"/>
      <c r="B276" s="8"/>
      <c r="C276" s="8"/>
      <c r="D276" s="7"/>
      <c r="E276" s="7"/>
      <c r="F276" s="7"/>
      <c r="G276" s="7"/>
      <c r="H276" s="143"/>
      <c r="I276" s="7"/>
      <c r="J276" s="7"/>
      <c r="K276" s="7"/>
      <c r="L276" s="7"/>
      <c r="M276" s="7"/>
      <c r="N276" s="7"/>
      <c r="O276" s="7"/>
      <c r="P276" s="7"/>
      <c r="Q276" s="7"/>
      <c r="R276" s="7"/>
      <c r="S276" s="7"/>
      <c r="T276" s="7"/>
      <c r="U276" s="7"/>
      <c r="V276" s="7"/>
      <c r="W276" s="7"/>
    </row>
    <row r="277" spans="1:23">
      <c r="A277" s="7"/>
      <c r="B277" s="8"/>
      <c r="C277" s="8"/>
      <c r="D277" s="7"/>
      <c r="E277" s="7"/>
      <c r="F277" s="7"/>
      <c r="G277" s="7"/>
      <c r="H277" s="143"/>
      <c r="I277" s="7"/>
      <c r="J277" s="7"/>
      <c r="K277" s="7"/>
      <c r="L277" s="7"/>
      <c r="M277" s="7"/>
      <c r="N277" s="7"/>
      <c r="O277" s="7"/>
      <c r="P277" s="7"/>
      <c r="Q277" s="7"/>
      <c r="R277" s="7"/>
      <c r="S277" s="7"/>
      <c r="T277" s="7"/>
      <c r="U277" s="7"/>
      <c r="V277" s="7"/>
      <c r="W277" s="7"/>
    </row>
    <row r="278" spans="1:23">
      <c r="A278" s="7"/>
      <c r="B278" s="8"/>
      <c r="C278" s="8"/>
      <c r="D278" s="7"/>
      <c r="E278" s="7"/>
      <c r="F278" s="7"/>
      <c r="G278" s="7"/>
      <c r="H278" s="143"/>
      <c r="I278" s="7"/>
      <c r="J278" s="7"/>
      <c r="K278" s="7"/>
      <c r="L278" s="7"/>
      <c r="M278" s="7"/>
      <c r="N278" s="7"/>
      <c r="O278" s="7"/>
      <c r="P278" s="7"/>
      <c r="Q278" s="7"/>
      <c r="R278" s="7"/>
      <c r="S278" s="7"/>
      <c r="T278" s="7"/>
      <c r="U278" s="7"/>
      <c r="V278" s="7"/>
      <c r="W278" s="7"/>
    </row>
    <row r="279" spans="1:23">
      <c r="A279" s="7"/>
      <c r="B279" s="8"/>
      <c r="C279" s="8"/>
      <c r="D279" s="7"/>
      <c r="E279" s="7"/>
      <c r="F279" s="7"/>
      <c r="G279" s="7"/>
      <c r="H279" s="143"/>
      <c r="I279" s="7"/>
      <c r="J279" s="7"/>
      <c r="K279" s="7"/>
      <c r="L279" s="7"/>
      <c r="M279" s="7"/>
      <c r="N279" s="7"/>
      <c r="O279" s="7"/>
      <c r="P279" s="7"/>
      <c r="Q279" s="7"/>
      <c r="R279" s="7"/>
      <c r="S279" s="7"/>
      <c r="T279" s="7"/>
      <c r="U279" s="7"/>
      <c r="V279" s="7"/>
      <c r="W279" s="7"/>
    </row>
    <row r="280" spans="1:23">
      <c r="A280" s="7"/>
      <c r="B280" s="8"/>
      <c r="C280" s="8"/>
      <c r="D280" s="7"/>
      <c r="E280" s="7"/>
      <c r="F280" s="7"/>
      <c r="G280" s="7"/>
      <c r="H280" s="143"/>
      <c r="I280" s="7"/>
      <c r="J280" s="7"/>
      <c r="K280" s="7"/>
      <c r="L280" s="7"/>
      <c r="M280" s="7"/>
      <c r="N280" s="7"/>
      <c r="O280" s="7"/>
      <c r="P280" s="7"/>
      <c r="Q280" s="7"/>
      <c r="R280" s="7"/>
      <c r="S280" s="7"/>
      <c r="T280" s="7"/>
      <c r="U280" s="7"/>
      <c r="V280" s="7"/>
      <c r="W280" s="7"/>
    </row>
    <row r="281" spans="1:23">
      <c r="A281" s="7"/>
      <c r="B281" s="8"/>
      <c r="C281" s="8"/>
      <c r="D281" s="7"/>
      <c r="E281" s="7"/>
      <c r="F281" s="7"/>
      <c r="G281" s="7"/>
      <c r="H281" s="143"/>
      <c r="I281" s="7"/>
      <c r="J281" s="7"/>
      <c r="K281" s="7"/>
      <c r="L281" s="7"/>
      <c r="M281" s="7"/>
      <c r="N281" s="7"/>
      <c r="O281" s="7"/>
      <c r="P281" s="7"/>
      <c r="Q281" s="7"/>
      <c r="R281" s="7"/>
      <c r="S281" s="7"/>
      <c r="T281" s="7"/>
      <c r="U281" s="7"/>
      <c r="V281" s="7"/>
      <c r="W281" s="7"/>
    </row>
    <row r="282" spans="1:23">
      <c r="A282" s="7"/>
      <c r="B282" s="8"/>
      <c r="C282" s="8"/>
      <c r="D282" s="7"/>
      <c r="E282" s="7"/>
      <c r="F282" s="7"/>
      <c r="G282" s="7"/>
      <c r="H282" s="143"/>
      <c r="I282" s="7"/>
      <c r="J282" s="7"/>
      <c r="K282" s="7"/>
      <c r="L282" s="7"/>
      <c r="M282" s="7"/>
      <c r="N282" s="7"/>
      <c r="O282" s="7"/>
      <c r="P282" s="7"/>
      <c r="Q282" s="7"/>
      <c r="R282" s="7"/>
      <c r="S282" s="7"/>
      <c r="T282" s="7"/>
      <c r="U282" s="7"/>
      <c r="V282" s="7"/>
      <c r="W282" s="7"/>
    </row>
    <row r="283" spans="1:23">
      <c r="A283" s="7"/>
      <c r="B283" s="8"/>
      <c r="C283" s="8"/>
      <c r="D283" s="7"/>
      <c r="E283" s="7"/>
      <c r="F283" s="7"/>
      <c r="G283" s="7"/>
      <c r="H283" s="143"/>
      <c r="I283" s="7"/>
      <c r="J283" s="7"/>
      <c r="K283" s="7"/>
      <c r="L283" s="7"/>
      <c r="M283" s="7"/>
      <c r="N283" s="7"/>
      <c r="O283" s="7"/>
      <c r="P283" s="7"/>
      <c r="Q283" s="7"/>
      <c r="R283" s="7"/>
      <c r="S283" s="7"/>
      <c r="T283" s="7"/>
      <c r="U283" s="7"/>
      <c r="V283" s="7"/>
      <c r="W283" s="7"/>
    </row>
    <row r="284" spans="1:23">
      <c r="A284" s="7"/>
      <c r="B284" s="8"/>
      <c r="C284" s="8"/>
      <c r="D284" s="7"/>
      <c r="E284" s="7"/>
      <c r="F284" s="7"/>
      <c r="G284" s="7"/>
      <c r="H284" s="143"/>
      <c r="I284" s="7"/>
      <c r="J284" s="7"/>
      <c r="K284" s="7"/>
      <c r="L284" s="7"/>
      <c r="M284" s="7"/>
      <c r="N284" s="7"/>
      <c r="O284" s="7"/>
      <c r="P284" s="7"/>
      <c r="Q284" s="7"/>
      <c r="R284" s="7"/>
      <c r="S284" s="7"/>
      <c r="T284" s="7"/>
      <c r="U284" s="7"/>
      <c r="V284" s="7"/>
      <c r="W284" s="7"/>
    </row>
    <row r="285" spans="1:23">
      <c r="A285" s="7"/>
      <c r="B285" s="8"/>
      <c r="C285" s="8"/>
      <c r="D285" s="7"/>
      <c r="E285" s="7"/>
      <c r="F285" s="7"/>
      <c r="G285" s="7"/>
      <c r="H285" s="143"/>
      <c r="I285" s="7"/>
      <c r="J285" s="7"/>
      <c r="K285" s="7"/>
      <c r="L285" s="7"/>
      <c r="M285" s="7"/>
      <c r="N285" s="7"/>
      <c r="O285" s="7"/>
      <c r="P285" s="7"/>
      <c r="Q285" s="7"/>
      <c r="R285" s="7"/>
      <c r="S285" s="7"/>
      <c r="T285" s="7"/>
      <c r="U285" s="7"/>
      <c r="V285" s="7"/>
      <c r="W285" s="7"/>
    </row>
    <row r="286" spans="1:23">
      <c r="A286" s="7"/>
      <c r="B286" s="8"/>
      <c r="C286" s="8"/>
      <c r="D286" s="7"/>
      <c r="E286" s="7"/>
      <c r="F286" s="7"/>
      <c r="G286" s="7"/>
      <c r="H286" s="143"/>
      <c r="I286" s="7"/>
      <c r="J286" s="7"/>
      <c r="K286" s="7"/>
      <c r="L286" s="7"/>
      <c r="M286" s="7"/>
      <c r="N286" s="7"/>
      <c r="O286" s="7"/>
      <c r="P286" s="7"/>
      <c r="Q286" s="7"/>
      <c r="R286" s="7"/>
      <c r="S286" s="7"/>
      <c r="T286" s="7"/>
      <c r="U286" s="7"/>
      <c r="V286" s="7"/>
      <c r="W286" s="7"/>
    </row>
    <row r="287" spans="1:23">
      <c r="A287" s="7"/>
      <c r="B287" s="8"/>
      <c r="C287" s="8"/>
      <c r="D287" s="7"/>
      <c r="E287" s="7"/>
      <c r="F287" s="7"/>
      <c r="G287" s="7"/>
      <c r="H287" s="143"/>
      <c r="I287" s="7"/>
      <c r="J287" s="7"/>
      <c r="K287" s="7"/>
      <c r="L287" s="7"/>
      <c r="M287" s="7"/>
      <c r="N287" s="7"/>
      <c r="O287" s="7"/>
      <c r="P287" s="7"/>
      <c r="Q287" s="7"/>
      <c r="R287" s="7"/>
      <c r="S287" s="7"/>
      <c r="T287" s="7"/>
      <c r="U287" s="7"/>
      <c r="V287" s="7"/>
      <c r="W287" s="7"/>
    </row>
    <row r="288" spans="1:23">
      <c r="A288" s="7"/>
      <c r="B288" s="8"/>
      <c r="C288" s="8"/>
      <c r="D288" s="7"/>
      <c r="E288" s="7"/>
      <c r="F288" s="7"/>
      <c r="G288" s="7"/>
      <c r="H288" s="143"/>
      <c r="I288" s="7"/>
      <c r="J288" s="7"/>
      <c r="K288" s="7"/>
      <c r="L288" s="7"/>
      <c r="M288" s="7"/>
      <c r="N288" s="7"/>
      <c r="O288" s="7"/>
      <c r="P288" s="7"/>
      <c r="Q288" s="7"/>
      <c r="R288" s="7"/>
      <c r="S288" s="7"/>
      <c r="T288" s="7"/>
      <c r="U288" s="7"/>
      <c r="V288" s="7"/>
      <c r="W288" s="7"/>
    </row>
    <row r="289" spans="1:23">
      <c r="A289" s="7"/>
      <c r="B289" s="8"/>
      <c r="C289" s="8"/>
      <c r="D289" s="7"/>
      <c r="E289" s="7"/>
      <c r="F289" s="7"/>
      <c r="G289" s="7"/>
      <c r="H289" s="143"/>
      <c r="I289" s="7"/>
      <c r="J289" s="7"/>
      <c r="K289" s="7"/>
      <c r="L289" s="7"/>
      <c r="M289" s="7"/>
      <c r="N289" s="7"/>
      <c r="O289" s="7"/>
      <c r="P289" s="7"/>
      <c r="Q289" s="7"/>
      <c r="R289" s="7"/>
      <c r="S289" s="7"/>
      <c r="T289" s="7"/>
      <c r="U289" s="7"/>
      <c r="V289" s="7"/>
      <c r="W289" s="7"/>
    </row>
    <row r="290" spans="1:23">
      <c r="A290" s="7"/>
      <c r="B290" s="8"/>
      <c r="C290" s="8"/>
      <c r="D290" s="7"/>
      <c r="E290" s="7"/>
      <c r="F290" s="7"/>
      <c r="G290" s="7"/>
      <c r="H290" s="143"/>
      <c r="I290" s="7"/>
      <c r="J290" s="7"/>
      <c r="K290" s="7"/>
      <c r="L290" s="7"/>
      <c r="M290" s="7"/>
      <c r="N290" s="7"/>
      <c r="O290" s="7"/>
      <c r="P290" s="7"/>
      <c r="Q290" s="7"/>
      <c r="R290" s="7"/>
      <c r="S290" s="7"/>
      <c r="T290" s="7"/>
      <c r="U290" s="7"/>
      <c r="V290" s="7"/>
      <c r="W290" s="7"/>
    </row>
    <row r="291" spans="1:23">
      <c r="A291" s="7"/>
      <c r="B291" s="8"/>
      <c r="C291" s="8"/>
      <c r="D291" s="7"/>
      <c r="E291" s="7"/>
      <c r="F291" s="7"/>
      <c r="G291" s="7"/>
      <c r="H291" s="143"/>
      <c r="I291" s="7"/>
      <c r="J291" s="7"/>
      <c r="K291" s="7"/>
      <c r="L291" s="7"/>
      <c r="M291" s="7"/>
      <c r="N291" s="7"/>
      <c r="O291" s="7"/>
      <c r="P291" s="7"/>
      <c r="Q291" s="7"/>
      <c r="R291" s="7"/>
      <c r="S291" s="7"/>
      <c r="T291" s="7"/>
      <c r="U291" s="7"/>
      <c r="V291" s="7"/>
      <c r="W291" s="7"/>
    </row>
    <row r="292" spans="1:23">
      <c r="A292" s="7"/>
      <c r="B292" s="8"/>
      <c r="C292" s="8"/>
      <c r="D292" s="7"/>
      <c r="E292" s="7"/>
      <c r="F292" s="7"/>
      <c r="G292" s="7"/>
      <c r="H292" s="143"/>
      <c r="I292" s="7"/>
      <c r="J292" s="7"/>
      <c r="K292" s="7"/>
      <c r="L292" s="7"/>
      <c r="M292" s="7"/>
      <c r="N292" s="7"/>
      <c r="O292" s="7"/>
      <c r="P292" s="7"/>
      <c r="Q292" s="7"/>
      <c r="R292" s="7"/>
      <c r="S292" s="7"/>
      <c r="T292" s="7"/>
      <c r="U292" s="7"/>
      <c r="V292" s="7"/>
      <c r="W292" s="7"/>
    </row>
    <row r="293" spans="1:23">
      <c r="A293" s="7"/>
      <c r="B293" s="8"/>
      <c r="C293" s="8"/>
      <c r="D293" s="7"/>
      <c r="E293" s="7"/>
      <c r="F293" s="7"/>
      <c r="G293" s="7"/>
      <c r="H293" s="143"/>
      <c r="I293" s="7"/>
      <c r="J293" s="7"/>
      <c r="K293" s="7"/>
      <c r="L293" s="7"/>
      <c r="M293" s="7"/>
      <c r="N293" s="7"/>
      <c r="O293" s="7"/>
      <c r="P293" s="7"/>
      <c r="Q293" s="7"/>
      <c r="R293" s="7"/>
      <c r="S293" s="7"/>
      <c r="T293" s="7"/>
      <c r="U293" s="7"/>
      <c r="V293" s="7"/>
      <c r="W293" s="7"/>
    </row>
    <row r="294" spans="1:23">
      <c r="A294" s="7"/>
      <c r="B294" s="8"/>
      <c r="C294" s="8"/>
      <c r="D294" s="7"/>
      <c r="E294" s="7"/>
      <c r="F294" s="7"/>
      <c r="G294" s="7"/>
      <c r="H294" s="143"/>
      <c r="I294" s="7"/>
      <c r="J294" s="7"/>
      <c r="K294" s="7"/>
      <c r="L294" s="7"/>
      <c r="M294" s="7"/>
      <c r="N294" s="7"/>
      <c r="O294" s="7"/>
      <c r="P294" s="7"/>
      <c r="Q294" s="7"/>
      <c r="R294" s="7"/>
      <c r="S294" s="7"/>
      <c r="T294" s="7"/>
      <c r="U294" s="7"/>
      <c r="V294" s="7"/>
      <c r="W294" s="7"/>
    </row>
    <row r="295" spans="1:23">
      <c r="A295" s="7"/>
      <c r="B295" s="8"/>
      <c r="C295" s="8"/>
      <c r="D295" s="7"/>
      <c r="E295" s="7"/>
      <c r="F295" s="7"/>
      <c r="G295" s="7"/>
      <c r="H295" s="143"/>
      <c r="I295" s="7"/>
      <c r="J295" s="7"/>
      <c r="K295" s="7"/>
      <c r="L295" s="7"/>
      <c r="M295" s="7"/>
      <c r="N295" s="7"/>
      <c r="O295" s="7"/>
      <c r="P295" s="7"/>
      <c r="Q295" s="7"/>
      <c r="R295" s="7"/>
      <c r="S295" s="7"/>
      <c r="T295" s="7"/>
      <c r="U295" s="7"/>
      <c r="V295" s="7"/>
      <c r="W295" s="7"/>
    </row>
    <row r="296" spans="1:23">
      <c r="A296" s="7"/>
      <c r="B296" s="8"/>
      <c r="C296" s="8"/>
      <c r="D296" s="7"/>
      <c r="E296" s="7"/>
      <c r="F296" s="7"/>
      <c r="G296" s="7"/>
      <c r="H296" s="143"/>
      <c r="I296" s="7"/>
      <c r="J296" s="7"/>
      <c r="K296" s="7"/>
      <c r="L296" s="7"/>
      <c r="M296" s="7"/>
      <c r="N296" s="7"/>
      <c r="O296" s="7"/>
      <c r="P296" s="7"/>
      <c r="Q296" s="7"/>
      <c r="R296" s="7"/>
      <c r="S296" s="7"/>
      <c r="T296" s="7"/>
      <c r="U296" s="7"/>
      <c r="V296" s="7"/>
      <c r="W296" s="7"/>
    </row>
    <row r="297" spans="1:23">
      <c r="A297" s="7"/>
      <c r="B297" s="8"/>
      <c r="C297" s="8"/>
      <c r="D297" s="7"/>
      <c r="E297" s="7"/>
      <c r="F297" s="7"/>
      <c r="G297" s="7"/>
      <c r="H297" s="143"/>
      <c r="I297" s="7"/>
      <c r="J297" s="7"/>
      <c r="K297" s="7"/>
      <c r="L297" s="7"/>
      <c r="M297" s="7"/>
      <c r="N297" s="7"/>
      <c r="O297" s="7"/>
      <c r="P297" s="7"/>
      <c r="Q297" s="7"/>
      <c r="R297" s="7"/>
      <c r="S297" s="7"/>
      <c r="T297" s="7"/>
      <c r="U297" s="7"/>
      <c r="V297" s="7"/>
      <c r="W297" s="7"/>
    </row>
    <row r="298" spans="1:23">
      <c r="A298" s="7"/>
      <c r="B298" s="8"/>
      <c r="C298" s="8"/>
      <c r="D298" s="7"/>
      <c r="E298" s="7"/>
      <c r="F298" s="7"/>
      <c r="G298" s="7"/>
      <c r="H298" s="143"/>
      <c r="I298" s="7"/>
      <c r="J298" s="7"/>
      <c r="K298" s="7"/>
      <c r="L298" s="7"/>
      <c r="M298" s="7"/>
      <c r="N298" s="7"/>
      <c r="O298" s="7"/>
      <c r="P298" s="7"/>
      <c r="Q298" s="7"/>
      <c r="R298" s="7"/>
      <c r="S298" s="7"/>
      <c r="T298" s="7"/>
      <c r="U298" s="7"/>
      <c r="V298" s="7"/>
      <c r="W298" s="7"/>
    </row>
    <row r="299" spans="1:23">
      <c r="A299" s="7"/>
      <c r="B299" s="8"/>
      <c r="C299" s="8"/>
      <c r="D299" s="7"/>
      <c r="E299" s="7"/>
      <c r="F299" s="7"/>
      <c r="G299" s="7"/>
      <c r="H299" s="143"/>
      <c r="I299" s="7"/>
      <c r="J299" s="7"/>
      <c r="K299" s="7"/>
      <c r="L299" s="7"/>
      <c r="M299" s="7"/>
      <c r="N299" s="7"/>
      <c r="O299" s="7"/>
      <c r="P299" s="7"/>
      <c r="Q299" s="7"/>
      <c r="R299" s="7"/>
      <c r="S299" s="7"/>
      <c r="T299" s="7"/>
      <c r="U299" s="7"/>
      <c r="V299" s="7"/>
      <c r="W299" s="7"/>
    </row>
    <row r="300" spans="1:23">
      <c r="A300" s="7"/>
      <c r="B300" s="8"/>
      <c r="C300" s="8"/>
      <c r="D300" s="7"/>
      <c r="E300" s="7"/>
      <c r="F300" s="7"/>
      <c r="G300" s="7"/>
      <c r="H300" s="143"/>
      <c r="I300" s="7"/>
      <c r="J300" s="7"/>
      <c r="K300" s="7"/>
      <c r="L300" s="7"/>
      <c r="M300" s="7"/>
      <c r="N300" s="7"/>
      <c r="O300" s="7"/>
      <c r="P300" s="7"/>
      <c r="Q300" s="7"/>
      <c r="R300" s="7"/>
      <c r="S300" s="7"/>
      <c r="T300" s="7"/>
      <c r="U300" s="7"/>
      <c r="V300" s="7"/>
      <c r="W300" s="7"/>
    </row>
    <row r="301" spans="1:23">
      <c r="A301" s="7"/>
      <c r="B301" s="8"/>
      <c r="C301" s="8"/>
      <c r="D301" s="7"/>
      <c r="E301" s="7"/>
      <c r="F301" s="7"/>
      <c r="G301" s="7"/>
      <c r="H301" s="143"/>
      <c r="I301" s="7"/>
      <c r="J301" s="7"/>
      <c r="K301" s="7"/>
      <c r="L301" s="7"/>
      <c r="M301" s="7"/>
      <c r="N301" s="7"/>
      <c r="O301" s="7"/>
      <c r="P301" s="7"/>
      <c r="Q301" s="7"/>
      <c r="R301" s="7"/>
      <c r="S301" s="7"/>
      <c r="T301" s="7"/>
      <c r="U301" s="7"/>
      <c r="V301" s="7"/>
      <c r="W301" s="7"/>
    </row>
    <row r="302" spans="1:23">
      <c r="A302" s="7"/>
      <c r="B302" s="8"/>
      <c r="C302" s="8"/>
      <c r="D302" s="7"/>
      <c r="E302" s="7"/>
      <c r="F302" s="7"/>
      <c r="G302" s="7"/>
      <c r="H302" s="143"/>
      <c r="I302" s="7"/>
      <c r="J302" s="7"/>
      <c r="K302" s="7"/>
      <c r="L302" s="7"/>
      <c r="M302" s="7"/>
      <c r="N302" s="7"/>
      <c r="O302" s="7"/>
      <c r="P302" s="7"/>
      <c r="Q302" s="7"/>
      <c r="R302" s="7"/>
      <c r="S302" s="7"/>
      <c r="T302" s="7"/>
      <c r="U302" s="7"/>
      <c r="V302" s="7"/>
      <c r="W302" s="7"/>
    </row>
    <row r="303" spans="1:23">
      <c r="A303" s="7"/>
      <c r="B303" s="8"/>
      <c r="C303" s="8"/>
      <c r="D303" s="7"/>
      <c r="E303" s="7"/>
      <c r="F303" s="7"/>
      <c r="G303" s="7"/>
      <c r="H303" s="143"/>
      <c r="I303" s="7"/>
      <c r="J303" s="7"/>
      <c r="K303" s="7"/>
      <c r="L303" s="7"/>
      <c r="M303" s="7"/>
      <c r="N303" s="7"/>
      <c r="O303" s="7"/>
      <c r="P303" s="7"/>
      <c r="Q303" s="7"/>
      <c r="R303" s="7"/>
      <c r="S303" s="7"/>
      <c r="T303" s="7"/>
      <c r="U303" s="7"/>
      <c r="V303" s="7"/>
      <c r="W303" s="7"/>
    </row>
    <row r="304" spans="1:23">
      <c r="A304" s="7"/>
      <c r="B304" s="8"/>
      <c r="C304" s="8"/>
      <c r="D304" s="7"/>
      <c r="E304" s="7"/>
      <c r="F304" s="7"/>
      <c r="G304" s="7"/>
      <c r="H304" s="143"/>
      <c r="I304" s="7"/>
      <c r="J304" s="7"/>
      <c r="K304" s="7"/>
      <c r="L304" s="7"/>
      <c r="M304" s="7"/>
      <c r="N304" s="7"/>
      <c r="O304" s="7"/>
      <c r="P304" s="7"/>
      <c r="Q304" s="7"/>
      <c r="R304" s="7"/>
      <c r="S304" s="7"/>
      <c r="T304" s="7"/>
      <c r="U304" s="7"/>
      <c r="V304" s="7"/>
      <c r="W304" s="7"/>
    </row>
    <row r="305" spans="1:23">
      <c r="A305" s="7"/>
      <c r="B305" s="8"/>
      <c r="C305" s="8"/>
      <c r="D305" s="7"/>
      <c r="E305" s="7"/>
      <c r="F305" s="7"/>
      <c r="G305" s="7"/>
      <c r="H305" s="143"/>
      <c r="I305" s="7"/>
      <c r="J305" s="7"/>
      <c r="K305" s="7"/>
      <c r="L305" s="7"/>
      <c r="M305" s="7"/>
      <c r="N305" s="7"/>
      <c r="O305" s="7"/>
      <c r="P305" s="7"/>
      <c r="Q305" s="7"/>
      <c r="R305" s="7"/>
      <c r="S305" s="7"/>
      <c r="T305" s="7"/>
      <c r="U305" s="7"/>
      <c r="V305" s="7"/>
      <c r="W305" s="7"/>
    </row>
    <row r="306" spans="1:23">
      <c r="A306" s="7"/>
      <c r="B306" s="8"/>
      <c r="C306" s="8"/>
      <c r="D306" s="7"/>
      <c r="E306" s="7"/>
      <c r="F306" s="7"/>
      <c r="G306" s="7"/>
      <c r="H306" s="143"/>
      <c r="I306" s="7"/>
      <c r="J306" s="7"/>
      <c r="K306" s="7"/>
      <c r="L306" s="7"/>
      <c r="M306" s="7"/>
      <c r="N306" s="7"/>
      <c r="O306" s="7"/>
      <c r="P306" s="7"/>
      <c r="Q306" s="7"/>
      <c r="R306" s="7"/>
      <c r="S306" s="7"/>
      <c r="T306" s="7"/>
      <c r="U306" s="7"/>
      <c r="V306" s="7"/>
      <c r="W306" s="7"/>
    </row>
    <row r="307" spans="1:23">
      <c r="A307" s="7"/>
      <c r="B307" s="8"/>
      <c r="C307" s="8"/>
      <c r="D307" s="7"/>
      <c r="E307" s="7"/>
      <c r="F307" s="7"/>
      <c r="G307" s="7"/>
      <c r="H307" s="143"/>
      <c r="I307" s="7"/>
      <c r="J307" s="7"/>
      <c r="K307" s="7"/>
      <c r="L307" s="7"/>
      <c r="M307" s="7"/>
      <c r="N307" s="7"/>
      <c r="O307" s="7"/>
      <c r="P307" s="7"/>
      <c r="Q307" s="7"/>
      <c r="R307" s="7"/>
      <c r="S307" s="7"/>
      <c r="T307" s="7"/>
      <c r="U307" s="7"/>
      <c r="V307" s="7"/>
      <c r="W307" s="7"/>
    </row>
    <row r="308" spans="1:23">
      <c r="A308" s="7"/>
      <c r="B308" s="8"/>
      <c r="C308" s="8"/>
      <c r="D308" s="7"/>
      <c r="E308" s="7"/>
      <c r="F308" s="7"/>
      <c r="G308" s="7"/>
      <c r="H308" s="143"/>
      <c r="I308" s="7"/>
      <c r="J308" s="7"/>
      <c r="K308" s="7"/>
      <c r="L308" s="7"/>
      <c r="M308" s="7"/>
      <c r="N308" s="7"/>
      <c r="O308" s="7"/>
      <c r="P308" s="7"/>
      <c r="Q308" s="7"/>
      <c r="R308" s="7"/>
      <c r="S308" s="7"/>
      <c r="T308" s="7"/>
      <c r="U308" s="7"/>
      <c r="V308" s="7"/>
      <c r="W308" s="7"/>
    </row>
    <row r="309" spans="1:23">
      <c r="A309" s="7"/>
      <c r="B309" s="8"/>
      <c r="C309" s="8"/>
      <c r="D309" s="7"/>
      <c r="E309" s="7"/>
      <c r="F309" s="7"/>
      <c r="G309" s="7"/>
      <c r="H309" s="143"/>
      <c r="I309" s="7"/>
      <c r="J309" s="7"/>
      <c r="K309" s="7"/>
      <c r="L309" s="7"/>
      <c r="M309" s="7"/>
      <c r="N309" s="7"/>
      <c r="O309" s="7"/>
      <c r="P309" s="7"/>
      <c r="Q309" s="7"/>
      <c r="R309" s="7"/>
      <c r="S309" s="7"/>
      <c r="T309" s="7"/>
      <c r="U309" s="7"/>
      <c r="V309" s="7"/>
      <c r="W309" s="7"/>
    </row>
    <row r="310" spans="1:23">
      <c r="A310" s="7"/>
      <c r="B310" s="8"/>
      <c r="C310" s="8"/>
      <c r="D310" s="7"/>
      <c r="E310" s="7"/>
      <c r="F310" s="7"/>
      <c r="G310" s="7"/>
      <c r="H310" s="143"/>
      <c r="I310" s="7"/>
      <c r="J310" s="7"/>
      <c r="K310" s="7"/>
      <c r="L310" s="7"/>
      <c r="M310" s="7"/>
      <c r="N310" s="7"/>
      <c r="O310" s="7"/>
      <c r="P310" s="7"/>
      <c r="Q310" s="7"/>
      <c r="R310" s="7"/>
      <c r="S310" s="7"/>
      <c r="T310" s="7"/>
      <c r="U310" s="7"/>
      <c r="V310" s="7"/>
      <c r="W310" s="7"/>
    </row>
    <row r="311" spans="1:23">
      <c r="A311" s="7"/>
      <c r="B311" s="8"/>
      <c r="C311" s="8"/>
      <c r="D311" s="7"/>
      <c r="E311" s="7"/>
      <c r="F311" s="7"/>
      <c r="G311" s="7"/>
      <c r="H311" s="143"/>
      <c r="I311" s="7"/>
      <c r="J311" s="7"/>
      <c r="K311" s="7"/>
      <c r="L311" s="7"/>
      <c r="M311" s="7"/>
      <c r="N311" s="7"/>
      <c r="O311" s="7"/>
      <c r="P311" s="7"/>
      <c r="Q311" s="7"/>
      <c r="R311" s="7"/>
      <c r="S311" s="7"/>
      <c r="T311" s="7"/>
      <c r="U311" s="7"/>
      <c r="V311" s="7"/>
      <c r="W311" s="7"/>
    </row>
    <row r="312" spans="1:23">
      <c r="A312" s="7"/>
      <c r="B312" s="8"/>
      <c r="C312" s="8"/>
      <c r="D312" s="7"/>
      <c r="E312" s="7"/>
      <c r="F312" s="7"/>
      <c r="G312" s="7"/>
      <c r="H312" s="143"/>
      <c r="I312" s="7"/>
      <c r="J312" s="7"/>
      <c r="K312" s="7"/>
      <c r="L312" s="7"/>
      <c r="M312" s="7"/>
      <c r="N312" s="7"/>
      <c r="O312" s="7"/>
      <c r="P312" s="7"/>
      <c r="Q312" s="7"/>
      <c r="R312" s="7"/>
      <c r="S312" s="7"/>
      <c r="T312" s="7"/>
      <c r="U312" s="7"/>
      <c r="V312" s="7"/>
      <c r="W312" s="7"/>
    </row>
    <row r="313" spans="1:23">
      <c r="A313" s="7"/>
      <c r="B313" s="8"/>
      <c r="C313" s="8"/>
      <c r="D313" s="7"/>
      <c r="E313" s="7"/>
      <c r="F313" s="7"/>
      <c r="G313" s="7"/>
      <c r="H313" s="143"/>
      <c r="I313" s="7"/>
      <c r="J313" s="7"/>
      <c r="K313" s="7"/>
      <c r="L313" s="7"/>
      <c r="M313" s="7"/>
      <c r="N313" s="7"/>
      <c r="O313" s="7"/>
      <c r="P313" s="7"/>
      <c r="Q313" s="7"/>
      <c r="R313" s="7"/>
      <c r="S313" s="7"/>
      <c r="T313" s="7"/>
      <c r="U313" s="7"/>
      <c r="V313" s="7"/>
      <c r="W313" s="7"/>
    </row>
    <row r="314" spans="1:23">
      <c r="A314" s="7"/>
      <c r="B314" s="8"/>
      <c r="C314" s="8"/>
      <c r="D314" s="7"/>
      <c r="E314" s="7"/>
      <c r="F314" s="7"/>
      <c r="G314" s="7"/>
      <c r="H314" s="143"/>
      <c r="I314" s="7"/>
      <c r="J314" s="7"/>
      <c r="K314" s="7"/>
      <c r="L314" s="7"/>
      <c r="M314" s="7"/>
      <c r="N314" s="7"/>
      <c r="O314" s="7"/>
      <c r="P314" s="7"/>
      <c r="Q314" s="7"/>
      <c r="R314" s="7"/>
      <c r="S314" s="7"/>
      <c r="T314" s="7"/>
      <c r="U314" s="7"/>
      <c r="V314" s="7"/>
      <c r="W314" s="7"/>
    </row>
    <row r="315" spans="1:23">
      <c r="A315" s="7"/>
      <c r="B315" s="8"/>
      <c r="C315" s="8"/>
      <c r="D315" s="7"/>
      <c r="E315" s="7"/>
      <c r="F315" s="7"/>
      <c r="G315" s="7"/>
      <c r="H315" s="143"/>
      <c r="I315" s="7"/>
      <c r="J315" s="7"/>
      <c r="K315" s="7"/>
      <c r="L315" s="7"/>
      <c r="M315" s="7"/>
      <c r="N315" s="7"/>
      <c r="O315" s="7"/>
      <c r="P315" s="7"/>
      <c r="Q315" s="7"/>
      <c r="R315" s="7"/>
      <c r="S315" s="7"/>
      <c r="T315" s="7"/>
      <c r="U315" s="7"/>
      <c r="V315" s="7"/>
      <c r="W315" s="7"/>
    </row>
    <row r="316" spans="1:23">
      <c r="A316" s="7"/>
      <c r="B316" s="8"/>
      <c r="C316" s="8"/>
      <c r="D316" s="7"/>
      <c r="E316" s="7"/>
      <c r="F316" s="7"/>
      <c r="G316" s="7"/>
      <c r="H316" s="143"/>
      <c r="I316" s="7"/>
      <c r="J316" s="7"/>
      <c r="K316" s="7"/>
      <c r="L316" s="7"/>
      <c r="M316" s="7"/>
      <c r="N316" s="7"/>
      <c r="O316" s="7"/>
      <c r="P316" s="7"/>
      <c r="Q316" s="7"/>
      <c r="R316" s="7"/>
      <c r="S316" s="7"/>
      <c r="T316" s="7"/>
      <c r="U316" s="7"/>
      <c r="V316" s="7"/>
      <c r="W316" s="7"/>
    </row>
    <row r="317" spans="1:23">
      <c r="A317" s="7"/>
      <c r="B317" s="8"/>
      <c r="C317" s="8"/>
      <c r="D317" s="7"/>
      <c r="E317" s="7"/>
      <c r="F317" s="7"/>
      <c r="G317" s="7"/>
      <c r="H317" s="143"/>
      <c r="I317" s="7"/>
      <c r="J317" s="7"/>
      <c r="K317" s="7"/>
      <c r="L317" s="7"/>
      <c r="M317" s="7"/>
      <c r="N317" s="7"/>
      <c r="O317" s="7"/>
      <c r="P317" s="7"/>
      <c r="Q317" s="7"/>
      <c r="R317" s="7"/>
      <c r="S317" s="7"/>
      <c r="T317" s="7"/>
      <c r="U317" s="7"/>
      <c r="V317" s="7"/>
      <c r="W317" s="7"/>
    </row>
    <row r="318" spans="1:23">
      <c r="A318" s="7"/>
      <c r="B318" s="8"/>
      <c r="C318" s="8"/>
      <c r="D318" s="7"/>
      <c r="E318" s="7"/>
      <c r="F318" s="7"/>
      <c r="G318" s="7"/>
      <c r="H318" s="143"/>
      <c r="I318" s="7"/>
      <c r="J318" s="7"/>
      <c r="K318" s="7"/>
      <c r="L318" s="7"/>
      <c r="M318" s="7"/>
      <c r="N318" s="7"/>
      <c r="O318" s="7"/>
      <c r="P318" s="7"/>
      <c r="Q318" s="7"/>
      <c r="R318" s="7"/>
      <c r="S318" s="7"/>
      <c r="T318" s="7"/>
      <c r="U318" s="7"/>
      <c r="V318" s="7"/>
      <c r="W318" s="7"/>
    </row>
    <row r="319" spans="1:23">
      <c r="A319" s="7"/>
      <c r="B319" s="8"/>
      <c r="C319" s="8"/>
      <c r="D319" s="7"/>
      <c r="E319" s="7"/>
      <c r="F319" s="7"/>
      <c r="G319" s="7"/>
      <c r="H319" s="143"/>
      <c r="I319" s="7"/>
      <c r="J319" s="7"/>
      <c r="K319" s="7"/>
      <c r="L319" s="7"/>
      <c r="M319" s="7"/>
      <c r="N319" s="7"/>
      <c r="O319" s="7"/>
      <c r="P319" s="7"/>
      <c r="Q319" s="7"/>
      <c r="R319" s="7"/>
      <c r="S319" s="7"/>
      <c r="T319" s="7"/>
      <c r="U319" s="7"/>
      <c r="V319" s="7"/>
      <c r="W319" s="7"/>
    </row>
    <row r="320" spans="1:23">
      <c r="A320" s="7"/>
      <c r="B320" s="8"/>
      <c r="C320" s="8"/>
      <c r="D320" s="7"/>
      <c r="E320" s="7"/>
      <c r="F320" s="7"/>
      <c r="G320" s="7"/>
      <c r="H320" s="143"/>
      <c r="I320" s="7"/>
      <c r="J320" s="7"/>
      <c r="K320" s="7"/>
      <c r="L320" s="7"/>
      <c r="M320" s="7"/>
      <c r="N320" s="7"/>
      <c r="O320" s="7"/>
      <c r="P320" s="7"/>
      <c r="Q320" s="7"/>
      <c r="R320" s="7"/>
      <c r="S320" s="7"/>
      <c r="T320" s="7"/>
      <c r="U320" s="7"/>
      <c r="V320" s="7"/>
      <c r="W320" s="7"/>
    </row>
    <row r="321" spans="1:23">
      <c r="A321" s="7"/>
      <c r="B321" s="8"/>
      <c r="C321" s="8"/>
      <c r="D321" s="7"/>
      <c r="E321" s="7"/>
      <c r="F321" s="7"/>
      <c r="G321" s="7"/>
      <c r="H321" s="143"/>
      <c r="I321" s="7"/>
      <c r="J321" s="7"/>
      <c r="K321" s="7"/>
      <c r="L321" s="7"/>
      <c r="M321" s="7"/>
      <c r="N321" s="7"/>
      <c r="O321" s="7"/>
      <c r="P321" s="7"/>
      <c r="Q321" s="7"/>
      <c r="R321" s="7"/>
      <c r="S321" s="7"/>
      <c r="T321" s="7"/>
      <c r="U321" s="7"/>
      <c r="V321" s="7"/>
      <c r="W321" s="7"/>
    </row>
    <row r="322" spans="1:23">
      <c r="A322" s="7"/>
      <c r="B322" s="8"/>
      <c r="C322" s="8"/>
      <c r="D322" s="7"/>
      <c r="E322" s="7"/>
      <c r="F322" s="7"/>
      <c r="G322" s="7"/>
      <c r="H322" s="143"/>
      <c r="I322" s="7"/>
      <c r="J322" s="7"/>
      <c r="K322" s="7"/>
      <c r="L322" s="7"/>
      <c r="M322" s="7"/>
      <c r="N322" s="7"/>
      <c r="O322" s="7"/>
      <c r="P322" s="7"/>
      <c r="Q322" s="7"/>
      <c r="R322" s="7"/>
      <c r="S322" s="7"/>
      <c r="T322" s="7"/>
      <c r="U322" s="7"/>
      <c r="V322" s="7"/>
      <c r="W322" s="7"/>
    </row>
    <row r="323" spans="1:23">
      <c r="A323" s="7"/>
      <c r="B323" s="8"/>
      <c r="C323" s="8"/>
      <c r="D323" s="7"/>
      <c r="E323" s="7"/>
      <c r="F323" s="7"/>
      <c r="G323" s="7"/>
      <c r="H323" s="143"/>
      <c r="I323" s="7"/>
      <c r="J323" s="7"/>
      <c r="K323" s="7"/>
      <c r="L323" s="7"/>
      <c r="M323" s="7"/>
      <c r="N323" s="7"/>
      <c r="O323" s="7"/>
      <c r="P323" s="7"/>
      <c r="Q323" s="7"/>
      <c r="R323" s="7"/>
      <c r="S323" s="7"/>
      <c r="T323" s="7"/>
      <c r="U323" s="7"/>
      <c r="V323" s="7"/>
      <c r="W323" s="7"/>
    </row>
    <row r="324" spans="1:23">
      <c r="A324" s="7"/>
      <c r="B324" s="8"/>
      <c r="C324" s="8"/>
      <c r="D324" s="7"/>
      <c r="E324" s="7"/>
      <c r="F324" s="7"/>
      <c r="G324" s="7"/>
      <c r="H324" s="143"/>
      <c r="I324" s="7"/>
      <c r="J324" s="7"/>
      <c r="K324" s="7"/>
      <c r="L324" s="7"/>
      <c r="M324" s="7"/>
      <c r="N324" s="7"/>
      <c r="O324" s="7"/>
      <c r="P324" s="7"/>
      <c r="Q324" s="7"/>
      <c r="R324" s="7"/>
      <c r="S324" s="7"/>
      <c r="T324" s="7"/>
      <c r="U324" s="7"/>
      <c r="V324" s="7"/>
      <c r="W324" s="7"/>
    </row>
    <row r="325" spans="1:23">
      <c r="A325" s="7"/>
      <c r="B325" s="8"/>
      <c r="C325" s="8"/>
      <c r="D325" s="7"/>
      <c r="E325" s="7"/>
      <c r="F325" s="7"/>
      <c r="G325" s="7"/>
      <c r="H325" s="143"/>
      <c r="I325" s="7"/>
      <c r="J325" s="7"/>
      <c r="K325" s="7"/>
      <c r="L325" s="7"/>
      <c r="M325" s="7"/>
      <c r="N325" s="7"/>
      <c r="O325" s="7"/>
      <c r="P325" s="7"/>
      <c r="Q325" s="7"/>
      <c r="R325" s="7"/>
      <c r="S325" s="7"/>
      <c r="T325" s="7"/>
      <c r="U325" s="7"/>
      <c r="V325" s="7"/>
      <c r="W325" s="7"/>
    </row>
    <row r="326" spans="1:23">
      <c r="A326" s="7"/>
      <c r="B326" s="8"/>
      <c r="C326" s="8"/>
      <c r="D326" s="7"/>
      <c r="E326" s="7"/>
      <c r="F326" s="7"/>
      <c r="G326" s="7"/>
      <c r="H326" s="143"/>
      <c r="I326" s="7"/>
      <c r="J326" s="7"/>
      <c r="K326" s="7"/>
      <c r="L326" s="7"/>
      <c r="M326" s="7"/>
      <c r="N326" s="7"/>
      <c r="O326" s="7"/>
      <c r="P326" s="7"/>
      <c r="Q326" s="7"/>
      <c r="R326" s="7"/>
      <c r="S326" s="7"/>
      <c r="T326" s="7"/>
      <c r="U326" s="7"/>
      <c r="V326" s="7"/>
      <c r="W326" s="7"/>
    </row>
    <row r="327" spans="1:23">
      <c r="A327" s="7"/>
      <c r="B327" s="8"/>
      <c r="C327" s="8"/>
      <c r="D327" s="7"/>
      <c r="E327" s="7"/>
      <c r="F327" s="7"/>
      <c r="G327" s="7"/>
      <c r="H327" s="143"/>
      <c r="I327" s="7"/>
      <c r="J327" s="7"/>
      <c r="K327" s="7"/>
      <c r="L327" s="7"/>
      <c r="M327" s="7"/>
      <c r="N327" s="7"/>
      <c r="O327" s="7"/>
      <c r="P327" s="7"/>
      <c r="Q327" s="7"/>
      <c r="R327" s="7"/>
      <c r="S327" s="7"/>
      <c r="T327" s="7"/>
      <c r="U327" s="7"/>
      <c r="V327" s="7"/>
      <c r="W327" s="7"/>
    </row>
    <row r="328" spans="1:23">
      <c r="A328" s="7"/>
      <c r="B328" s="8"/>
      <c r="C328" s="8"/>
      <c r="D328" s="7"/>
      <c r="E328" s="7"/>
      <c r="F328" s="7"/>
      <c r="G328" s="7"/>
      <c r="H328" s="143"/>
      <c r="I328" s="7"/>
      <c r="J328" s="7"/>
      <c r="K328" s="7"/>
      <c r="L328" s="7"/>
      <c r="M328" s="7"/>
      <c r="N328" s="7"/>
      <c r="O328" s="7"/>
      <c r="P328" s="7"/>
      <c r="Q328" s="7"/>
      <c r="R328" s="7"/>
      <c r="S328" s="7"/>
      <c r="T328" s="7"/>
      <c r="U328" s="7"/>
      <c r="V328" s="7"/>
      <c r="W328" s="7"/>
    </row>
    <row r="329" spans="1:23">
      <c r="A329" s="7"/>
      <c r="B329" s="8"/>
      <c r="C329" s="8"/>
      <c r="D329" s="7"/>
      <c r="E329" s="7"/>
      <c r="F329" s="7"/>
      <c r="G329" s="7"/>
      <c r="H329" s="143"/>
      <c r="I329" s="7"/>
      <c r="J329" s="7"/>
      <c r="K329" s="7"/>
      <c r="L329" s="7"/>
      <c r="M329" s="7"/>
      <c r="N329" s="7"/>
      <c r="O329" s="7"/>
      <c r="P329" s="7"/>
      <c r="Q329" s="7"/>
      <c r="R329" s="7"/>
      <c r="S329" s="7"/>
      <c r="T329" s="7"/>
      <c r="U329" s="7"/>
      <c r="V329" s="7"/>
      <c r="W329" s="7"/>
    </row>
    <row r="330" spans="1:23">
      <c r="A330" s="7"/>
      <c r="B330" s="8"/>
      <c r="C330" s="8"/>
      <c r="D330" s="7"/>
      <c r="E330" s="7"/>
      <c r="F330" s="7"/>
      <c r="G330" s="7"/>
      <c r="H330" s="143"/>
      <c r="I330" s="7"/>
      <c r="J330" s="7"/>
      <c r="K330" s="7"/>
      <c r="L330" s="7"/>
      <c r="M330" s="7"/>
      <c r="N330" s="7"/>
      <c r="O330" s="7"/>
      <c r="P330" s="7"/>
      <c r="Q330" s="7"/>
      <c r="R330" s="7"/>
      <c r="S330" s="7"/>
      <c r="T330" s="7"/>
      <c r="U330" s="7"/>
      <c r="V330" s="7"/>
      <c r="W330" s="7"/>
    </row>
    <row r="331" spans="1:23">
      <c r="A331" s="7"/>
      <c r="B331" s="8"/>
      <c r="C331" s="8"/>
      <c r="D331" s="7"/>
      <c r="E331" s="7"/>
      <c r="F331" s="7"/>
      <c r="G331" s="7"/>
      <c r="H331" s="143"/>
      <c r="I331" s="7"/>
      <c r="J331" s="7"/>
      <c r="K331" s="7"/>
      <c r="L331" s="7"/>
      <c r="M331" s="7"/>
      <c r="N331" s="7"/>
      <c r="O331" s="7"/>
      <c r="P331" s="7"/>
      <c r="Q331" s="7"/>
      <c r="R331" s="7"/>
      <c r="S331" s="7"/>
      <c r="T331" s="7"/>
      <c r="U331" s="7"/>
      <c r="V331" s="7"/>
      <c r="W331" s="7"/>
    </row>
    <row r="332" spans="1:23">
      <c r="A332" s="7"/>
      <c r="B332" s="8"/>
      <c r="C332" s="8"/>
      <c r="D332" s="7"/>
      <c r="E332" s="7"/>
      <c r="F332" s="7"/>
      <c r="G332" s="7"/>
      <c r="H332" s="143"/>
      <c r="I332" s="7"/>
      <c r="J332" s="7"/>
      <c r="K332" s="7"/>
      <c r="L332" s="7"/>
      <c r="M332" s="7"/>
      <c r="N332" s="7"/>
      <c r="O332" s="7"/>
      <c r="P332" s="7"/>
      <c r="Q332" s="7"/>
      <c r="R332" s="7"/>
      <c r="S332" s="7"/>
      <c r="T332" s="7"/>
      <c r="U332" s="7"/>
      <c r="V332" s="7"/>
      <c r="W332" s="7"/>
    </row>
    <row r="333" spans="1:23">
      <c r="A333" s="7"/>
      <c r="B333" s="8"/>
      <c r="C333" s="8"/>
      <c r="D333" s="7"/>
      <c r="E333" s="7"/>
      <c r="F333" s="7"/>
      <c r="G333" s="7"/>
      <c r="H333" s="143"/>
      <c r="I333" s="7"/>
      <c r="J333" s="7"/>
      <c r="K333" s="7"/>
      <c r="L333" s="7"/>
      <c r="M333" s="7"/>
      <c r="N333" s="7"/>
      <c r="O333" s="7"/>
      <c r="P333" s="7"/>
      <c r="Q333" s="7"/>
      <c r="R333" s="7"/>
      <c r="S333" s="7"/>
      <c r="T333" s="7"/>
      <c r="U333" s="7"/>
      <c r="V333" s="7"/>
      <c r="W333" s="7"/>
    </row>
    <row r="334" spans="1:23">
      <c r="A334" s="7"/>
      <c r="B334" s="8"/>
      <c r="C334" s="8"/>
      <c r="D334" s="7"/>
      <c r="E334" s="7"/>
      <c r="F334" s="7"/>
      <c r="G334" s="7"/>
      <c r="H334" s="143"/>
      <c r="I334" s="7"/>
      <c r="J334" s="7"/>
      <c r="K334" s="7"/>
      <c r="L334" s="7"/>
      <c r="M334" s="7"/>
      <c r="N334" s="7"/>
      <c r="O334" s="7"/>
      <c r="P334" s="7"/>
      <c r="Q334" s="7"/>
      <c r="R334" s="7"/>
      <c r="S334" s="7"/>
      <c r="T334" s="7"/>
      <c r="U334" s="7"/>
      <c r="V334" s="7"/>
      <c r="W334" s="7"/>
    </row>
    <row r="335" spans="1:23">
      <c r="A335" s="7"/>
      <c r="B335" s="8"/>
      <c r="C335" s="8"/>
      <c r="D335" s="7"/>
      <c r="E335" s="7"/>
      <c r="F335" s="7"/>
      <c r="G335" s="7"/>
      <c r="H335" s="143"/>
      <c r="I335" s="7"/>
      <c r="J335" s="7"/>
      <c r="K335" s="7"/>
      <c r="L335" s="7"/>
      <c r="M335" s="7"/>
      <c r="N335" s="7"/>
      <c r="O335" s="7"/>
      <c r="P335" s="7"/>
      <c r="Q335" s="7"/>
      <c r="R335" s="7"/>
      <c r="S335" s="7"/>
      <c r="T335" s="7"/>
      <c r="U335" s="7"/>
      <c r="V335" s="7"/>
      <c r="W335" s="7"/>
    </row>
    <row r="336" spans="1:23">
      <c r="A336" s="7"/>
      <c r="B336" s="8"/>
      <c r="C336" s="8"/>
      <c r="D336" s="7"/>
      <c r="E336" s="7"/>
      <c r="F336" s="7"/>
      <c r="G336" s="7"/>
      <c r="H336" s="143"/>
      <c r="I336" s="7"/>
      <c r="J336" s="7"/>
      <c r="K336" s="7"/>
      <c r="L336" s="7"/>
      <c r="M336" s="7"/>
      <c r="N336" s="7"/>
      <c r="O336" s="7"/>
      <c r="P336" s="7"/>
      <c r="Q336" s="7"/>
      <c r="R336" s="7"/>
      <c r="S336" s="7"/>
      <c r="T336" s="7"/>
      <c r="U336" s="7"/>
      <c r="V336" s="7"/>
      <c r="W336" s="7"/>
    </row>
    <row r="337" spans="1:23">
      <c r="A337" s="7"/>
      <c r="B337" s="8"/>
      <c r="C337" s="8"/>
      <c r="D337" s="7"/>
      <c r="E337" s="7"/>
      <c r="F337" s="7"/>
      <c r="G337" s="7"/>
      <c r="H337" s="143"/>
      <c r="I337" s="7"/>
      <c r="J337" s="7"/>
      <c r="K337" s="7"/>
      <c r="L337" s="7"/>
      <c r="M337" s="7"/>
      <c r="N337" s="7"/>
      <c r="O337" s="7"/>
      <c r="P337" s="7"/>
      <c r="Q337" s="7"/>
      <c r="R337" s="7"/>
      <c r="S337" s="7"/>
      <c r="T337" s="7"/>
      <c r="U337" s="7"/>
      <c r="V337" s="7"/>
      <c r="W337" s="7"/>
    </row>
    <row r="338" spans="1:23">
      <c r="A338" s="7"/>
      <c r="B338" s="8"/>
      <c r="C338" s="8"/>
      <c r="D338" s="7"/>
      <c r="E338" s="7"/>
      <c r="F338" s="7"/>
      <c r="G338" s="7"/>
      <c r="H338" s="143"/>
      <c r="I338" s="7"/>
      <c r="J338" s="7"/>
      <c r="K338" s="7"/>
      <c r="L338" s="7"/>
      <c r="M338" s="7"/>
      <c r="N338" s="7"/>
      <c r="O338" s="7"/>
      <c r="P338" s="7"/>
      <c r="Q338" s="7"/>
      <c r="R338" s="7"/>
      <c r="S338" s="7"/>
      <c r="T338" s="7"/>
      <c r="U338" s="7"/>
      <c r="V338" s="7"/>
      <c r="W338" s="7"/>
    </row>
    <row r="339" spans="1:23">
      <c r="A339" s="7"/>
      <c r="B339" s="8"/>
      <c r="C339" s="8"/>
      <c r="D339" s="7"/>
      <c r="E339" s="7"/>
      <c r="F339" s="7"/>
      <c r="G339" s="7"/>
      <c r="H339" s="143"/>
      <c r="I339" s="7"/>
      <c r="J339" s="7"/>
      <c r="K339" s="7"/>
      <c r="L339" s="7"/>
      <c r="M339" s="7"/>
      <c r="N339" s="7"/>
      <c r="O339" s="7"/>
      <c r="P339" s="7"/>
      <c r="Q339" s="7"/>
      <c r="R339" s="7"/>
      <c r="S339" s="7"/>
      <c r="T339" s="7"/>
      <c r="U339" s="7"/>
      <c r="V339" s="7"/>
      <c r="W339" s="7"/>
    </row>
    <row r="340" spans="1:23">
      <c r="A340" s="7"/>
      <c r="B340" s="8"/>
      <c r="C340" s="8"/>
      <c r="D340" s="7"/>
      <c r="E340" s="7"/>
      <c r="F340" s="7"/>
      <c r="G340" s="7"/>
      <c r="H340" s="143"/>
      <c r="I340" s="7"/>
      <c r="J340" s="7"/>
      <c r="K340" s="7"/>
      <c r="L340" s="7"/>
      <c r="M340" s="7"/>
      <c r="N340" s="7"/>
      <c r="O340" s="7"/>
      <c r="P340" s="7"/>
      <c r="Q340" s="7"/>
      <c r="R340" s="7"/>
      <c r="S340" s="7"/>
      <c r="T340" s="7"/>
      <c r="U340" s="7"/>
      <c r="V340" s="7"/>
      <c r="W340" s="7"/>
    </row>
    <row r="341" spans="1:23">
      <c r="A341" s="7"/>
      <c r="B341" s="8"/>
      <c r="C341" s="8"/>
      <c r="D341" s="7"/>
      <c r="E341" s="7"/>
      <c r="F341" s="7"/>
      <c r="G341" s="7"/>
      <c r="H341" s="143"/>
      <c r="I341" s="7"/>
      <c r="J341" s="7"/>
      <c r="K341" s="7"/>
      <c r="L341" s="7"/>
      <c r="M341" s="7"/>
      <c r="N341" s="7"/>
      <c r="O341" s="7"/>
      <c r="P341" s="7"/>
      <c r="Q341" s="7"/>
      <c r="R341" s="7"/>
      <c r="S341" s="7"/>
      <c r="T341" s="7"/>
      <c r="U341" s="7"/>
      <c r="V341" s="7"/>
      <c r="W341" s="7"/>
    </row>
    <row r="342" spans="1:23">
      <c r="A342" s="7"/>
      <c r="B342" s="8"/>
      <c r="C342" s="8"/>
      <c r="D342" s="7"/>
      <c r="E342" s="7"/>
      <c r="F342" s="7"/>
      <c r="G342" s="7"/>
      <c r="H342" s="143"/>
      <c r="I342" s="7"/>
      <c r="J342" s="7"/>
      <c r="K342" s="7"/>
      <c r="L342" s="7"/>
      <c r="M342" s="7"/>
      <c r="N342" s="7"/>
      <c r="O342" s="7"/>
      <c r="P342" s="7"/>
      <c r="Q342" s="7"/>
      <c r="R342" s="7"/>
      <c r="S342" s="7"/>
      <c r="T342" s="7"/>
      <c r="U342" s="7"/>
      <c r="V342" s="7"/>
      <c r="W342" s="7"/>
    </row>
    <row r="343" spans="1:23">
      <c r="A343" s="7"/>
      <c r="B343" s="8"/>
      <c r="C343" s="8"/>
      <c r="D343" s="7"/>
      <c r="E343" s="7"/>
      <c r="F343" s="7"/>
      <c r="G343" s="7"/>
      <c r="H343" s="143"/>
      <c r="I343" s="7"/>
      <c r="J343" s="7"/>
      <c r="K343" s="7"/>
      <c r="L343" s="7"/>
      <c r="M343" s="7"/>
      <c r="N343" s="7"/>
      <c r="O343" s="7"/>
      <c r="P343" s="7"/>
      <c r="Q343" s="7"/>
      <c r="R343" s="7"/>
      <c r="S343" s="7"/>
      <c r="T343" s="7"/>
      <c r="U343" s="7"/>
      <c r="V343" s="7"/>
      <c r="W343" s="7"/>
    </row>
    <row r="344" spans="1:23">
      <c r="A344" s="7"/>
      <c r="B344" s="8"/>
      <c r="C344" s="8"/>
      <c r="D344" s="7"/>
      <c r="E344" s="7"/>
      <c r="F344" s="7"/>
      <c r="G344" s="7"/>
      <c r="H344" s="143"/>
      <c r="I344" s="7"/>
      <c r="J344" s="7"/>
      <c r="K344" s="7"/>
      <c r="L344" s="7"/>
      <c r="M344" s="7"/>
      <c r="N344" s="7"/>
      <c r="O344" s="7"/>
      <c r="P344" s="7"/>
      <c r="Q344" s="7"/>
      <c r="R344" s="7"/>
      <c r="S344" s="7"/>
      <c r="T344" s="7"/>
      <c r="U344" s="7"/>
      <c r="V344" s="7"/>
      <c r="W344" s="7"/>
    </row>
    <row r="345" spans="1:23">
      <c r="A345" s="7"/>
      <c r="B345" s="8"/>
      <c r="C345" s="8"/>
      <c r="D345" s="7"/>
      <c r="E345" s="7"/>
      <c r="F345" s="7"/>
      <c r="G345" s="7"/>
      <c r="H345" s="143"/>
      <c r="I345" s="7"/>
      <c r="J345" s="7"/>
      <c r="K345" s="7"/>
      <c r="L345" s="7"/>
      <c r="M345" s="7"/>
      <c r="N345" s="7"/>
      <c r="O345" s="7"/>
      <c r="P345" s="7"/>
      <c r="Q345" s="7"/>
      <c r="R345" s="7"/>
      <c r="S345" s="7"/>
      <c r="T345" s="7"/>
      <c r="U345" s="7"/>
      <c r="V345" s="7"/>
      <c r="W345" s="7"/>
    </row>
    <row r="346" spans="1:23">
      <c r="A346" s="7"/>
      <c r="B346" s="8"/>
      <c r="C346" s="8"/>
      <c r="D346" s="7"/>
      <c r="E346" s="7"/>
      <c r="F346" s="7"/>
      <c r="G346" s="7"/>
      <c r="H346" s="143"/>
      <c r="I346" s="7"/>
      <c r="J346" s="7"/>
      <c r="K346" s="7"/>
      <c r="L346" s="7"/>
      <c r="M346" s="7"/>
      <c r="N346" s="7"/>
      <c r="O346" s="7"/>
      <c r="P346" s="7"/>
      <c r="Q346" s="7"/>
      <c r="R346" s="7"/>
      <c r="S346" s="7"/>
      <c r="T346" s="7"/>
      <c r="U346" s="7"/>
      <c r="V346" s="7"/>
      <c r="W346" s="7"/>
    </row>
    <row r="347" spans="1:23">
      <c r="A347" s="7"/>
      <c r="B347" s="8"/>
      <c r="C347" s="8"/>
      <c r="D347" s="7"/>
      <c r="E347" s="7"/>
      <c r="F347" s="7"/>
      <c r="G347" s="7"/>
      <c r="H347" s="143"/>
      <c r="I347" s="7"/>
      <c r="J347" s="7"/>
      <c r="K347" s="7"/>
      <c r="L347" s="7"/>
      <c r="M347" s="7"/>
      <c r="N347" s="7"/>
      <c r="O347" s="7"/>
      <c r="P347" s="7"/>
      <c r="Q347" s="7"/>
      <c r="R347" s="7"/>
      <c r="S347" s="7"/>
      <c r="T347" s="7"/>
      <c r="U347" s="7"/>
      <c r="V347" s="7"/>
      <c r="W347" s="7"/>
    </row>
    <row r="348" spans="1:23">
      <c r="A348" s="7"/>
      <c r="B348" s="8"/>
      <c r="C348" s="8"/>
      <c r="D348" s="7"/>
      <c r="E348" s="7"/>
      <c r="F348" s="7"/>
      <c r="G348" s="7"/>
      <c r="H348" s="143"/>
      <c r="I348" s="7"/>
      <c r="J348" s="7"/>
      <c r="K348" s="7"/>
      <c r="L348" s="7"/>
      <c r="M348" s="7"/>
      <c r="N348" s="7"/>
      <c r="O348" s="7"/>
      <c r="P348" s="7"/>
      <c r="Q348" s="7"/>
      <c r="R348" s="7"/>
      <c r="S348" s="7"/>
      <c r="T348" s="7"/>
      <c r="U348" s="7"/>
      <c r="V348" s="7"/>
      <c r="W348" s="7"/>
    </row>
    <row r="349" spans="1:23">
      <c r="A349" s="7"/>
      <c r="B349" s="8"/>
      <c r="C349" s="8"/>
      <c r="D349" s="7"/>
      <c r="E349" s="7"/>
      <c r="F349" s="7"/>
      <c r="G349" s="7"/>
      <c r="H349" s="143"/>
      <c r="I349" s="7"/>
      <c r="J349" s="7"/>
      <c r="K349" s="7"/>
      <c r="L349" s="7"/>
      <c r="M349" s="7"/>
      <c r="N349" s="7"/>
      <c r="O349" s="7"/>
      <c r="P349" s="7"/>
      <c r="Q349" s="7"/>
      <c r="R349" s="7"/>
      <c r="S349" s="7"/>
      <c r="T349" s="7"/>
      <c r="U349" s="7"/>
      <c r="V349" s="7"/>
      <c r="W349" s="7"/>
    </row>
    <row r="350" spans="1:23">
      <c r="A350" s="7"/>
      <c r="B350" s="8"/>
      <c r="C350" s="8"/>
      <c r="D350" s="7"/>
      <c r="E350" s="7"/>
      <c r="F350" s="7"/>
      <c r="G350" s="7"/>
      <c r="H350" s="143"/>
      <c r="I350" s="7"/>
      <c r="J350" s="7"/>
      <c r="K350" s="7"/>
      <c r="L350" s="7"/>
      <c r="M350" s="7"/>
      <c r="N350" s="7"/>
      <c r="O350" s="7"/>
      <c r="P350" s="7"/>
      <c r="Q350" s="7"/>
      <c r="R350" s="7"/>
      <c r="S350" s="7"/>
      <c r="T350" s="7"/>
      <c r="U350" s="7"/>
      <c r="V350" s="7"/>
      <c r="W350" s="7"/>
    </row>
    <row r="351" spans="1:23">
      <c r="A351" s="7"/>
      <c r="B351" s="8"/>
      <c r="C351" s="8"/>
      <c r="D351" s="7"/>
      <c r="E351" s="7"/>
      <c r="F351" s="7"/>
      <c r="G351" s="7"/>
      <c r="H351" s="143"/>
      <c r="I351" s="7"/>
      <c r="J351" s="7"/>
      <c r="K351" s="7"/>
      <c r="L351" s="7"/>
      <c r="M351" s="7"/>
      <c r="N351" s="7"/>
      <c r="O351" s="7"/>
      <c r="P351" s="7"/>
      <c r="Q351" s="7"/>
      <c r="R351" s="7"/>
      <c r="S351" s="7"/>
      <c r="T351" s="7"/>
      <c r="U351" s="7"/>
      <c r="V351" s="7"/>
      <c r="W351" s="7"/>
    </row>
    <row r="352" spans="1:23">
      <c r="A352" s="7"/>
      <c r="B352" s="8"/>
      <c r="C352" s="8"/>
      <c r="D352" s="7"/>
      <c r="E352" s="7"/>
      <c r="F352" s="7"/>
      <c r="G352" s="7"/>
      <c r="H352" s="143"/>
      <c r="I352" s="7"/>
      <c r="J352" s="7"/>
      <c r="K352" s="7"/>
      <c r="L352" s="7"/>
      <c r="M352" s="7"/>
      <c r="N352" s="7"/>
      <c r="O352" s="7"/>
      <c r="P352" s="7"/>
      <c r="Q352" s="7"/>
      <c r="R352" s="7"/>
      <c r="S352" s="7"/>
      <c r="T352" s="7"/>
      <c r="U352" s="7"/>
      <c r="V352" s="7"/>
      <c r="W352" s="7"/>
    </row>
    <row r="353" spans="1:23">
      <c r="A353" s="7"/>
      <c r="B353" s="8"/>
      <c r="C353" s="8"/>
      <c r="D353" s="7"/>
      <c r="E353" s="7"/>
      <c r="F353" s="7"/>
      <c r="G353" s="7"/>
      <c r="H353" s="143"/>
      <c r="I353" s="7"/>
      <c r="J353" s="7"/>
      <c r="K353" s="7"/>
      <c r="L353" s="7"/>
      <c r="M353" s="7"/>
      <c r="N353" s="7"/>
      <c r="O353" s="7"/>
      <c r="P353" s="7"/>
      <c r="Q353" s="7"/>
      <c r="R353" s="7"/>
      <c r="S353" s="7"/>
      <c r="T353" s="7"/>
      <c r="U353" s="7"/>
      <c r="V353" s="7"/>
      <c r="W353" s="7"/>
    </row>
    <row r="354" spans="1:23">
      <c r="A354" s="7"/>
      <c r="B354" s="8"/>
      <c r="C354" s="8"/>
      <c r="D354" s="7"/>
      <c r="E354" s="7"/>
      <c r="F354" s="7"/>
      <c r="G354" s="7"/>
      <c r="H354" s="143"/>
      <c r="I354" s="7"/>
      <c r="J354" s="7"/>
      <c r="K354" s="7"/>
      <c r="L354" s="7"/>
      <c r="M354" s="7"/>
      <c r="N354" s="7"/>
      <c r="O354" s="7"/>
      <c r="P354" s="7"/>
      <c r="Q354" s="7"/>
      <c r="R354" s="7"/>
      <c r="S354" s="7"/>
      <c r="T354" s="7"/>
      <c r="U354" s="7"/>
      <c r="V354" s="7"/>
      <c r="W354" s="7"/>
    </row>
    <row r="355" spans="1:23">
      <c r="A355" s="7"/>
      <c r="B355" s="8"/>
      <c r="C355" s="8"/>
      <c r="D355" s="7"/>
      <c r="E355" s="7"/>
      <c r="F355" s="7"/>
      <c r="G355" s="7"/>
      <c r="H355" s="143"/>
      <c r="I355" s="7"/>
      <c r="J355" s="7"/>
      <c r="K355" s="7"/>
      <c r="L355" s="7"/>
      <c r="M355" s="7"/>
      <c r="N355" s="7"/>
      <c r="O355" s="7"/>
      <c r="P355" s="7"/>
      <c r="Q355" s="7"/>
      <c r="R355" s="7"/>
      <c r="S355" s="7"/>
      <c r="T355" s="7"/>
      <c r="U355" s="7"/>
      <c r="V355" s="7"/>
      <c r="W355" s="7"/>
    </row>
    <row r="356" spans="1:23">
      <c r="A356" s="7"/>
      <c r="B356" s="8"/>
      <c r="C356" s="8"/>
      <c r="D356" s="7"/>
      <c r="E356" s="7"/>
      <c r="F356" s="7"/>
      <c r="G356" s="7"/>
      <c r="H356" s="143"/>
      <c r="I356" s="7"/>
      <c r="J356" s="7"/>
      <c r="K356" s="7"/>
      <c r="L356" s="7"/>
      <c r="M356" s="7"/>
      <c r="N356" s="7"/>
      <c r="O356" s="7"/>
      <c r="P356" s="7"/>
      <c r="Q356" s="7"/>
      <c r="R356" s="7"/>
      <c r="S356" s="7"/>
      <c r="T356" s="7"/>
      <c r="U356" s="7"/>
      <c r="V356" s="7"/>
      <c r="W356" s="7"/>
    </row>
    <row r="357" spans="1:23">
      <c r="A357" s="7"/>
      <c r="B357" s="8"/>
      <c r="C357" s="8"/>
      <c r="D357" s="7"/>
      <c r="E357" s="7"/>
      <c r="F357" s="7"/>
      <c r="G357" s="7"/>
      <c r="H357" s="143"/>
      <c r="I357" s="7"/>
      <c r="J357" s="7"/>
      <c r="K357" s="7"/>
      <c r="L357" s="7"/>
      <c r="M357" s="7"/>
      <c r="N357" s="7"/>
      <c r="O357" s="7"/>
      <c r="P357" s="7"/>
      <c r="Q357" s="7"/>
      <c r="R357" s="7"/>
      <c r="S357" s="7"/>
      <c r="T357" s="7"/>
      <c r="U357" s="7"/>
      <c r="V357" s="7"/>
      <c r="W357" s="7"/>
    </row>
    <row r="358" spans="1:23">
      <c r="A358" s="7"/>
      <c r="B358" s="8"/>
      <c r="C358" s="8"/>
      <c r="D358" s="7"/>
      <c r="E358" s="7"/>
      <c r="F358" s="7"/>
      <c r="G358" s="7"/>
      <c r="H358" s="143"/>
      <c r="I358" s="7"/>
      <c r="J358" s="7"/>
      <c r="K358" s="7"/>
      <c r="L358" s="7"/>
      <c r="M358" s="7"/>
      <c r="N358" s="7"/>
      <c r="O358" s="7"/>
      <c r="P358" s="7"/>
      <c r="Q358" s="7"/>
      <c r="R358" s="7"/>
      <c r="S358" s="7"/>
      <c r="T358" s="7"/>
      <c r="U358" s="7"/>
      <c r="V358" s="7"/>
      <c r="W358" s="7"/>
    </row>
    <row r="359" spans="1:23">
      <c r="A359" s="7"/>
      <c r="B359" s="8"/>
      <c r="C359" s="8"/>
      <c r="D359" s="7"/>
      <c r="E359" s="7"/>
      <c r="F359" s="7"/>
      <c r="G359" s="7"/>
      <c r="H359" s="143"/>
      <c r="I359" s="7"/>
      <c r="J359" s="7"/>
      <c r="K359" s="7"/>
      <c r="L359" s="7"/>
      <c r="M359" s="7"/>
      <c r="N359" s="7"/>
      <c r="O359" s="7"/>
      <c r="P359" s="7"/>
      <c r="Q359" s="7"/>
      <c r="R359" s="7"/>
      <c r="S359" s="7"/>
      <c r="T359" s="7"/>
      <c r="U359" s="7"/>
      <c r="V359" s="7"/>
      <c r="W359" s="7"/>
    </row>
    <row r="360" spans="1:23">
      <c r="A360" s="7"/>
      <c r="B360" s="8"/>
      <c r="C360" s="8"/>
      <c r="D360" s="7"/>
      <c r="E360" s="7"/>
      <c r="F360" s="7"/>
      <c r="G360" s="7"/>
      <c r="H360" s="143"/>
      <c r="I360" s="7"/>
      <c r="J360" s="7"/>
      <c r="K360" s="7"/>
      <c r="L360" s="7"/>
      <c r="M360" s="7"/>
      <c r="N360" s="7"/>
      <c r="O360" s="7"/>
      <c r="P360" s="7"/>
      <c r="Q360" s="7"/>
      <c r="R360" s="7"/>
      <c r="S360" s="7"/>
      <c r="T360" s="7"/>
      <c r="U360" s="7"/>
      <c r="V360" s="7"/>
      <c r="W360" s="7"/>
    </row>
    <row r="361" spans="1:23">
      <c r="A361" s="7"/>
      <c r="B361" s="8"/>
      <c r="C361" s="8"/>
      <c r="D361" s="7"/>
      <c r="E361" s="7"/>
      <c r="F361" s="7"/>
      <c r="G361" s="7"/>
      <c r="H361" s="143"/>
      <c r="I361" s="7"/>
      <c r="J361" s="7"/>
      <c r="K361" s="7"/>
      <c r="L361" s="7"/>
      <c r="M361" s="7"/>
      <c r="N361" s="7"/>
      <c r="O361" s="7"/>
      <c r="P361" s="7"/>
      <c r="Q361" s="7"/>
      <c r="R361" s="7"/>
      <c r="S361" s="7"/>
      <c r="T361" s="7"/>
      <c r="U361" s="7"/>
      <c r="V361" s="7"/>
      <c r="W361" s="7"/>
    </row>
    <row r="362" spans="1:23">
      <c r="A362" s="7"/>
      <c r="B362" s="8"/>
      <c r="C362" s="8"/>
      <c r="D362" s="7"/>
      <c r="E362" s="7"/>
      <c r="F362" s="7"/>
      <c r="G362" s="7"/>
      <c r="H362" s="143"/>
      <c r="I362" s="7"/>
      <c r="J362" s="7"/>
      <c r="K362" s="7"/>
      <c r="L362" s="7"/>
      <c r="M362" s="7"/>
      <c r="N362" s="7"/>
      <c r="O362" s="7"/>
      <c r="P362" s="7"/>
      <c r="Q362" s="7"/>
      <c r="R362" s="7"/>
      <c r="S362" s="7"/>
      <c r="T362" s="7"/>
      <c r="U362" s="7"/>
      <c r="V362" s="7"/>
      <c r="W362" s="7"/>
    </row>
    <row r="363" spans="1:23">
      <c r="A363" s="7"/>
      <c r="B363" s="8"/>
      <c r="C363" s="8"/>
      <c r="D363" s="7"/>
      <c r="E363" s="7"/>
      <c r="F363" s="7"/>
      <c r="G363" s="7"/>
      <c r="H363" s="143"/>
      <c r="I363" s="7"/>
      <c r="J363" s="7"/>
      <c r="K363" s="7"/>
      <c r="L363" s="7"/>
      <c r="M363" s="7"/>
      <c r="N363" s="7"/>
      <c r="O363" s="7"/>
      <c r="P363" s="7"/>
      <c r="Q363" s="7"/>
      <c r="R363" s="7"/>
      <c r="S363" s="7"/>
      <c r="T363" s="7"/>
      <c r="U363" s="7"/>
      <c r="V363" s="7"/>
      <c r="W363" s="7"/>
    </row>
    <row r="364" spans="1:23">
      <c r="A364" s="7"/>
      <c r="B364" s="8"/>
      <c r="C364" s="8"/>
      <c r="D364" s="7"/>
      <c r="E364" s="7"/>
      <c r="F364" s="7"/>
      <c r="G364" s="7"/>
      <c r="H364" s="143"/>
      <c r="I364" s="7"/>
      <c r="J364" s="7"/>
      <c r="K364" s="7"/>
      <c r="L364" s="7"/>
      <c r="M364" s="7"/>
      <c r="N364" s="7"/>
      <c r="O364" s="7"/>
      <c r="P364" s="7"/>
      <c r="Q364" s="7"/>
      <c r="R364" s="7"/>
      <c r="S364" s="7"/>
      <c r="T364" s="7"/>
      <c r="U364" s="7"/>
      <c r="V364" s="7"/>
      <c r="W364" s="7"/>
    </row>
    <row r="365" spans="1:23">
      <c r="A365" s="7"/>
      <c r="B365" s="8"/>
      <c r="C365" s="8"/>
      <c r="D365" s="7"/>
      <c r="E365" s="7"/>
      <c r="F365" s="7"/>
      <c r="G365" s="7"/>
      <c r="H365" s="143"/>
      <c r="I365" s="7"/>
      <c r="J365" s="7"/>
      <c r="K365" s="7"/>
      <c r="L365" s="7"/>
      <c r="M365" s="7"/>
      <c r="N365" s="7"/>
      <c r="O365" s="7"/>
      <c r="P365" s="7"/>
      <c r="Q365" s="7"/>
      <c r="R365" s="7"/>
      <c r="S365" s="7"/>
      <c r="T365" s="7"/>
      <c r="U365" s="7"/>
      <c r="V365" s="7"/>
      <c r="W365" s="7"/>
    </row>
    <row r="366" spans="1:23">
      <c r="A366" s="7"/>
      <c r="B366" s="8"/>
      <c r="C366" s="8"/>
      <c r="D366" s="7"/>
      <c r="E366" s="7"/>
      <c r="F366" s="7"/>
      <c r="G366" s="7"/>
      <c r="H366" s="143"/>
      <c r="I366" s="7"/>
      <c r="J366" s="7"/>
      <c r="K366" s="7"/>
      <c r="L366" s="7"/>
      <c r="M366" s="7"/>
      <c r="N366" s="7"/>
      <c r="O366" s="7"/>
      <c r="P366" s="7"/>
      <c r="Q366" s="7"/>
      <c r="R366" s="7"/>
      <c r="S366" s="7"/>
      <c r="T366" s="7"/>
      <c r="U366" s="7"/>
      <c r="V366" s="7"/>
      <c r="W366" s="7"/>
    </row>
    <row r="367" spans="1:23">
      <c r="A367" s="7"/>
      <c r="B367" s="8"/>
      <c r="C367" s="8"/>
      <c r="D367" s="7"/>
      <c r="E367" s="7"/>
      <c r="F367" s="7"/>
      <c r="G367" s="7"/>
      <c r="H367" s="143"/>
      <c r="I367" s="7"/>
      <c r="J367" s="7"/>
      <c r="K367" s="7"/>
      <c r="L367" s="7"/>
      <c r="M367" s="7"/>
      <c r="N367" s="7"/>
      <c r="O367" s="7"/>
      <c r="P367" s="7"/>
      <c r="Q367" s="7"/>
      <c r="R367" s="7"/>
      <c r="S367" s="7"/>
      <c r="T367" s="7"/>
      <c r="U367" s="7"/>
      <c r="V367" s="7"/>
      <c r="W367" s="7"/>
    </row>
    <row r="368" spans="1:23">
      <c r="A368" s="7"/>
      <c r="B368" s="8"/>
      <c r="C368" s="8"/>
      <c r="D368" s="7"/>
      <c r="E368" s="7"/>
      <c r="F368" s="7"/>
      <c r="G368" s="7"/>
      <c r="H368" s="143"/>
      <c r="I368" s="7"/>
      <c r="J368" s="7"/>
      <c r="K368" s="7"/>
      <c r="L368" s="7"/>
      <c r="M368" s="7"/>
      <c r="N368" s="7"/>
      <c r="O368" s="7"/>
      <c r="P368" s="7"/>
      <c r="Q368" s="7"/>
      <c r="R368" s="7"/>
      <c r="S368" s="7"/>
      <c r="T368" s="7"/>
      <c r="U368" s="7"/>
      <c r="V368" s="7"/>
      <c r="W368" s="7"/>
    </row>
    <row r="369" spans="1:23">
      <c r="A369" s="7"/>
      <c r="B369" s="8"/>
      <c r="C369" s="8"/>
      <c r="D369" s="7"/>
      <c r="E369" s="7"/>
      <c r="F369" s="7"/>
      <c r="G369" s="7"/>
      <c r="H369" s="143"/>
      <c r="I369" s="7"/>
      <c r="J369" s="7"/>
      <c r="K369" s="7"/>
      <c r="L369" s="7"/>
      <c r="M369" s="7"/>
      <c r="N369" s="7"/>
      <c r="O369" s="7"/>
      <c r="P369" s="7"/>
      <c r="Q369" s="7"/>
      <c r="R369" s="7"/>
      <c r="S369" s="7"/>
      <c r="T369" s="7"/>
      <c r="U369" s="7"/>
      <c r="V369" s="7"/>
      <c r="W369" s="7"/>
    </row>
    <row r="370" spans="1:23">
      <c r="A370" s="7"/>
      <c r="B370" s="8"/>
      <c r="C370" s="8"/>
      <c r="D370" s="7"/>
      <c r="E370" s="7"/>
      <c r="F370" s="7"/>
      <c r="G370" s="7"/>
      <c r="H370" s="143"/>
      <c r="I370" s="7"/>
      <c r="J370" s="7"/>
      <c r="K370" s="7"/>
      <c r="L370" s="7"/>
      <c r="M370" s="7"/>
      <c r="N370" s="7"/>
      <c r="O370" s="7"/>
      <c r="P370" s="7"/>
      <c r="Q370" s="7"/>
      <c r="R370" s="7"/>
      <c r="S370" s="7"/>
      <c r="T370" s="7"/>
      <c r="U370" s="7"/>
      <c r="V370" s="7"/>
      <c r="W370" s="7"/>
    </row>
    <row r="371" spans="1:23">
      <c r="A371" s="7"/>
      <c r="B371" s="8"/>
      <c r="C371" s="8"/>
      <c r="D371" s="7"/>
      <c r="E371" s="7"/>
      <c r="F371" s="7"/>
      <c r="G371" s="7"/>
      <c r="H371" s="143"/>
      <c r="I371" s="7"/>
      <c r="J371" s="7"/>
      <c r="K371" s="7"/>
      <c r="L371" s="7"/>
      <c r="M371" s="7"/>
      <c r="N371" s="7"/>
      <c r="O371" s="7"/>
      <c r="P371" s="7"/>
      <c r="Q371" s="7"/>
      <c r="R371" s="7"/>
      <c r="S371" s="7"/>
      <c r="T371" s="7"/>
      <c r="U371" s="7"/>
      <c r="V371" s="7"/>
      <c r="W371" s="7"/>
    </row>
    <row r="372" spans="1:23">
      <c r="A372" s="7"/>
      <c r="B372" s="8"/>
      <c r="C372" s="8"/>
      <c r="D372" s="7"/>
      <c r="E372" s="7"/>
      <c r="F372" s="7"/>
      <c r="G372" s="7"/>
      <c r="H372" s="143"/>
      <c r="I372" s="7"/>
      <c r="J372" s="7"/>
      <c r="K372" s="7"/>
      <c r="L372" s="7"/>
      <c r="M372" s="7"/>
      <c r="N372" s="7"/>
      <c r="O372" s="7"/>
      <c r="P372" s="7"/>
      <c r="Q372" s="7"/>
      <c r="R372" s="7"/>
      <c r="S372" s="7"/>
      <c r="T372" s="7"/>
      <c r="U372" s="7"/>
      <c r="V372" s="7"/>
      <c r="W372" s="7"/>
    </row>
    <row r="373" spans="1:23">
      <c r="A373" s="7"/>
      <c r="B373" s="8"/>
      <c r="C373" s="8"/>
      <c r="D373" s="7"/>
      <c r="E373" s="7"/>
      <c r="F373" s="7"/>
      <c r="G373" s="7"/>
      <c r="H373" s="143"/>
      <c r="I373" s="7"/>
      <c r="J373" s="7"/>
      <c r="K373" s="7"/>
      <c r="L373" s="7"/>
      <c r="M373" s="7"/>
      <c r="N373" s="7"/>
      <c r="O373" s="7"/>
      <c r="P373" s="7"/>
      <c r="Q373" s="7"/>
      <c r="R373" s="7"/>
      <c r="S373" s="7"/>
      <c r="T373" s="7"/>
      <c r="U373" s="7"/>
      <c r="V373" s="7"/>
      <c r="W373" s="7"/>
    </row>
    <row r="374" spans="1:23">
      <c r="A374" s="7"/>
      <c r="B374" s="8"/>
      <c r="C374" s="8"/>
      <c r="D374" s="7"/>
      <c r="E374" s="7"/>
      <c r="F374" s="7"/>
      <c r="G374" s="7"/>
      <c r="H374" s="143"/>
      <c r="I374" s="7"/>
      <c r="J374" s="7"/>
      <c r="K374" s="7"/>
      <c r="L374" s="7"/>
      <c r="M374" s="7"/>
      <c r="N374" s="7"/>
      <c r="O374" s="7"/>
      <c r="P374" s="7"/>
      <c r="Q374" s="7"/>
      <c r="R374" s="7"/>
      <c r="S374" s="7"/>
      <c r="T374" s="7"/>
      <c r="U374" s="7"/>
      <c r="V374" s="7"/>
      <c r="W374" s="7"/>
    </row>
    <row r="375" spans="1:23">
      <c r="A375" s="7"/>
      <c r="B375" s="8"/>
      <c r="C375" s="8"/>
      <c r="D375" s="7"/>
      <c r="E375" s="7"/>
      <c r="F375" s="7"/>
      <c r="G375" s="7"/>
      <c r="H375" s="143"/>
      <c r="I375" s="7"/>
      <c r="J375" s="7"/>
      <c r="K375" s="7"/>
      <c r="L375" s="7"/>
      <c r="M375" s="7"/>
      <c r="N375" s="7"/>
      <c r="O375" s="7"/>
      <c r="P375" s="7"/>
      <c r="Q375" s="7"/>
      <c r="R375" s="7"/>
      <c r="S375" s="7"/>
      <c r="T375" s="7"/>
      <c r="U375" s="7"/>
      <c r="V375" s="7"/>
      <c r="W375" s="7"/>
    </row>
    <row r="376" spans="1:23">
      <c r="A376" s="7"/>
      <c r="B376" s="8"/>
      <c r="C376" s="8"/>
      <c r="D376" s="7"/>
      <c r="E376" s="7"/>
      <c r="F376" s="7"/>
      <c r="G376" s="7"/>
      <c r="H376" s="143"/>
      <c r="I376" s="7"/>
      <c r="J376" s="7"/>
      <c r="K376" s="7"/>
      <c r="L376" s="7"/>
      <c r="M376" s="7"/>
      <c r="N376" s="7"/>
      <c r="O376" s="7"/>
      <c r="P376" s="7"/>
      <c r="Q376" s="7"/>
      <c r="R376" s="7"/>
      <c r="S376" s="7"/>
      <c r="T376" s="7"/>
      <c r="U376" s="7"/>
      <c r="V376" s="7"/>
      <c r="W376" s="7"/>
    </row>
    <row r="377" spans="1:23">
      <c r="A377" s="7"/>
      <c r="B377" s="8"/>
      <c r="C377" s="8"/>
      <c r="D377" s="7"/>
      <c r="E377" s="7"/>
      <c r="F377" s="7"/>
      <c r="G377" s="7"/>
      <c r="H377" s="143"/>
      <c r="I377" s="7"/>
      <c r="J377" s="7"/>
      <c r="K377" s="7"/>
      <c r="L377" s="7"/>
      <c r="M377" s="7"/>
      <c r="N377" s="7"/>
      <c r="O377" s="7"/>
      <c r="P377" s="7"/>
      <c r="Q377" s="7"/>
      <c r="R377" s="7"/>
      <c r="S377" s="7"/>
      <c r="T377" s="7"/>
      <c r="U377" s="7"/>
      <c r="V377" s="7"/>
      <c r="W377" s="7"/>
    </row>
    <row r="378" spans="1:23">
      <c r="A378" s="7"/>
      <c r="B378" s="8"/>
      <c r="C378" s="8"/>
      <c r="D378" s="7"/>
      <c r="E378" s="7"/>
      <c r="F378" s="7"/>
      <c r="G378" s="7"/>
      <c r="H378" s="143"/>
      <c r="I378" s="7"/>
      <c r="J378" s="7"/>
      <c r="K378" s="7"/>
      <c r="L378" s="7"/>
      <c r="M378" s="7"/>
      <c r="N378" s="7"/>
      <c r="O378" s="7"/>
      <c r="P378" s="7"/>
      <c r="Q378" s="7"/>
      <c r="R378" s="7"/>
      <c r="S378" s="7"/>
      <c r="T378" s="7"/>
      <c r="U378" s="7"/>
      <c r="V378" s="7"/>
      <c r="W378" s="7"/>
    </row>
    <row r="379" spans="1:23">
      <c r="A379" s="7"/>
      <c r="B379" s="8"/>
      <c r="C379" s="8"/>
      <c r="D379" s="7"/>
      <c r="E379" s="7"/>
      <c r="F379" s="7"/>
      <c r="G379" s="7"/>
      <c r="H379" s="143"/>
      <c r="I379" s="7"/>
      <c r="J379" s="7"/>
      <c r="K379" s="7"/>
      <c r="L379" s="7"/>
      <c r="M379" s="7"/>
      <c r="N379" s="7"/>
      <c r="O379" s="7"/>
      <c r="P379" s="7"/>
      <c r="Q379" s="7"/>
      <c r="R379" s="7"/>
      <c r="S379" s="7"/>
      <c r="T379" s="7"/>
      <c r="U379" s="7"/>
      <c r="V379" s="7"/>
      <c r="W379" s="7"/>
    </row>
    <row r="380" spans="1:23">
      <c r="A380" s="7"/>
      <c r="B380" s="8"/>
      <c r="C380" s="8"/>
      <c r="D380" s="7"/>
      <c r="E380" s="7"/>
      <c r="F380" s="7"/>
      <c r="G380" s="7"/>
      <c r="H380" s="143"/>
      <c r="I380" s="7"/>
      <c r="J380" s="7"/>
      <c r="K380" s="7"/>
      <c r="L380" s="7"/>
      <c r="M380" s="7"/>
      <c r="N380" s="7"/>
      <c r="O380" s="7"/>
      <c r="P380" s="7"/>
      <c r="Q380" s="7"/>
      <c r="R380" s="7"/>
      <c r="S380" s="7"/>
      <c r="T380" s="7"/>
      <c r="U380" s="7"/>
      <c r="V380" s="7"/>
      <c r="W380" s="7"/>
    </row>
    <row r="381" spans="1:23">
      <c r="A381" s="7"/>
      <c r="B381" s="8"/>
      <c r="C381" s="8"/>
      <c r="D381" s="7"/>
      <c r="E381" s="7"/>
      <c r="F381" s="7"/>
      <c r="G381" s="7"/>
      <c r="H381" s="143"/>
      <c r="I381" s="7"/>
      <c r="J381" s="7"/>
      <c r="K381" s="7"/>
      <c r="L381" s="7"/>
      <c r="M381" s="7"/>
      <c r="N381" s="7"/>
      <c r="O381" s="7"/>
      <c r="P381" s="7"/>
      <c r="Q381" s="7"/>
      <c r="R381" s="7"/>
      <c r="S381" s="7"/>
      <c r="T381" s="7"/>
      <c r="U381" s="7"/>
      <c r="V381" s="7"/>
      <c r="W381" s="7"/>
    </row>
    <row r="382" spans="1:23">
      <c r="A382" s="7"/>
      <c r="B382" s="8"/>
      <c r="C382" s="8"/>
      <c r="D382" s="7"/>
      <c r="E382" s="7"/>
      <c r="F382" s="7"/>
      <c r="G382" s="7"/>
      <c r="H382" s="143"/>
      <c r="I382" s="7"/>
      <c r="J382" s="7"/>
      <c r="K382" s="7"/>
      <c r="L382" s="7"/>
      <c r="M382" s="7"/>
      <c r="N382" s="7"/>
      <c r="O382" s="7"/>
      <c r="P382" s="7"/>
      <c r="Q382" s="7"/>
      <c r="R382" s="7"/>
      <c r="S382" s="7"/>
      <c r="T382" s="7"/>
      <c r="U382" s="7"/>
      <c r="V382" s="7"/>
      <c r="W382" s="7"/>
    </row>
    <row r="383" spans="1:23">
      <c r="A383" s="7"/>
      <c r="B383" s="8"/>
      <c r="C383" s="8"/>
      <c r="D383" s="7"/>
      <c r="E383" s="7"/>
      <c r="F383" s="7"/>
      <c r="G383" s="7"/>
      <c r="H383" s="143"/>
      <c r="I383" s="7"/>
      <c r="J383" s="7"/>
      <c r="K383" s="7"/>
      <c r="L383" s="7"/>
      <c r="M383" s="7"/>
      <c r="N383" s="7"/>
      <c r="O383" s="7"/>
      <c r="P383" s="7"/>
      <c r="Q383" s="7"/>
      <c r="R383" s="7"/>
      <c r="S383" s="7"/>
      <c r="T383" s="7"/>
      <c r="U383" s="7"/>
      <c r="V383" s="7"/>
      <c r="W383" s="7"/>
    </row>
    <row r="384" spans="1:23">
      <c r="A384" s="7"/>
      <c r="B384" s="8"/>
      <c r="C384" s="8"/>
      <c r="D384" s="7"/>
      <c r="E384" s="7"/>
      <c r="F384" s="7"/>
      <c r="G384" s="7"/>
      <c r="H384" s="143"/>
      <c r="I384" s="7"/>
      <c r="J384" s="7"/>
      <c r="K384" s="7"/>
      <c r="L384" s="7"/>
      <c r="M384" s="7"/>
      <c r="N384" s="7"/>
      <c r="O384" s="7"/>
      <c r="P384" s="7"/>
      <c r="Q384" s="7"/>
      <c r="R384" s="7"/>
      <c r="S384" s="7"/>
      <c r="T384" s="7"/>
      <c r="U384" s="7"/>
      <c r="V384" s="7"/>
      <c r="W384" s="7"/>
    </row>
    <row r="385" spans="1:23">
      <c r="A385" s="7"/>
      <c r="B385" s="8"/>
      <c r="C385" s="8"/>
      <c r="D385" s="7"/>
      <c r="E385" s="7"/>
      <c r="F385" s="7"/>
      <c r="G385" s="7"/>
      <c r="H385" s="143"/>
      <c r="I385" s="7"/>
      <c r="J385" s="7"/>
      <c r="K385" s="7"/>
      <c r="L385" s="7"/>
      <c r="M385" s="7"/>
      <c r="N385" s="7"/>
      <c r="O385" s="7"/>
      <c r="P385" s="7"/>
      <c r="Q385" s="7"/>
      <c r="R385" s="7"/>
      <c r="S385" s="7"/>
      <c r="T385" s="7"/>
      <c r="U385" s="7"/>
      <c r="V385" s="7"/>
      <c r="W385" s="7"/>
    </row>
    <row r="386" spans="1:23">
      <c r="A386" s="7"/>
      <c r="B386" s="8"/>
      <c r="C386" s="8"/>
      <c r="D386" s="7"/>
      <c r="E386" s="7"/>
      <c r="F386" s="7"/>
      <c r="G386" s="7"/>
      <c r="H386" s="143"/>
      <c r="I386" s="7"/>
      <c r="J386" s="7"/>
      <c r="K386" s="7"/>
      <c r="L386" s="7"/>
      <c r="M386" s="7"/>
      <c r="N386" s="7"/>
      <c r="O386" s="7"/>
      <c r="P386" s="7"/>
      <c r="Q386" s="7"/>
      <c r="R386" s="7"/>
      <c r="S386" s="7"/>
      <c r="T386" s="7"/>
      <c r="U386" s="7"/>
      <c r="V386" s="7"/>
      <c r="W386" s="7"/>
    </row>
    <row r="387" spans="1:23">
      <c r="A387" s="7"/>
      <c r="B387" s="8"/>
      <c r="C387" s="8"/>
      <c r="D387" s="7"/>
      <c r="E387" s="7"/>
      <c r="F387" s="7"/>
      <c r="G387" s="7"/>
      <c r="H387" s="143"/>
      <c r="I387" s="7"/>
      <c r="J387" s="7"/>
      <c r="K387" s="7"/>
      <c r="L387" s="7"/>
      <c r="M387" s="7"/>
      <c r="N387" s="7"/>
      <c r="O387" s="7"/>
      <c r="P387" s="7"/>
      <c r="Q387" s="7"/>
      <c r="R387" s="7"/>
      <c r="S387" s="7"/>
      <c r="T387" s="7"/>
      <c r="U387" s="7"/>
      <c r="V387" s="7"/>
      <c r="W387" s="7"/>
    </row>
    <row r="388" spans="1:23">
      <c r="A388" s="7"/>
      <c r="B388" s="8"/>
      <c r="C388" s="8"/>
      <c r="D388" s="7"/>
      <c r="E388" s="7"/>
      <c r="F388" s="7"/>
      <c r="G388" s="7"/>
      <c r="H388" s="143"/>
      <c r="I388" s="7"/>
      <c r="J388" s="7"/>
      <c r="K388" s="7"/>
      <c r="L388" s="7"/>
      <c r="M388" s="7"/>
      <c r="N388" s="7"/>
      <c r="O388" s="7"/>
      <c r="P388" s="7"/>
      <c r="Q388" s="7"/>
      <c r="R388" s="7"/>
      <c r="S388" s="7"/>
      <c r="T388" s="7"/>
      <c r="U388" s="7"/>
      <c r="V388" s="7"/>
      <c r="W388" s="7"/>
    </row>
    <row r="389" spans="1:23">
      <c r="A389" s="7"/>
      <c r="B389" s="8"/>
      <c r="C389" s="8"/>
      <c r="D389" s="7"/>
      <c r="E389" s="7"/>
      <c r="F389" s="7"/>
      <c r="G389" s="7"/>
      <c r="H389" s="143"/>
      <c r="I389" s="7"/>
      <c r="J389" s="7"/>
      <c r="K389" s="7"/>
      <c r="L389" s="7"/>
      <c r="M389" s="7"/>
      <c r="N389" s="7"/>
      <c r="O389" s="7"/>
      <c r="P389" s="7"/>
      <c r="Q389" s="7"/>
      <c r="R389" s="7"/>
      <c r="S389" s="7"/>
      <c r="T389" s="7"/>
      <c r="U389" s="7"/>
      <c r="V389" s="7"/>
      <c r="W389" s="7"/>
    </row>
    <row r="390" spans="1:23">
      <c r="A390" s="7"/>
      <c r="B390" s="8"/>
      <c r="C390" s="8"/>
      <c r="D390" s="7"/>
      <c r="E390" s="7"/>
      <c r="F390" s="7"/>
      <c r="G390" s="7"/>
      <c r="H390" s="143"/>
      <c r="I390" s="7"/>
      <c r="J390" s="7"/>
      <c r="K390" s="7"/>
      <c r="L390" s="7"/>
      <c r="M390" s="7"/>
      <c r="N390" s="7"/>
      <c r="O390" s="7"/>
      <c r="P390" s="7"/>
      <c r="Q390" s="7"/>
      <c r="R390" s="7"/>
      <c r="S390" s="7"/>
      <c r="T390" s="7"/>
      <c r="U390" s="7"/>
      <c r="V390" s="7"/>
      <c r="W390" s="7"/>
    </row>
    <row r="391" spans="1:23">
      <c r="A391" s="7"/>
      <c r="B391" s="8"/>
      <c r="C391" s="8"/>
      <c r="D391" s="7"/>
      <c r="E391" s="7"/>
      <c r="F391" s="7"/>
      <c r="G391" s="7"/>
      <c r="H391" s="143"/>
      <c r="I391" s="7"/>
      <c r="J391" s="7"/>
      <c r="K391" s="7"/>
      <c r="L391" s="7"/>
      <c r="M391" s="7"/>
      <c r="N391" s="7"/>
      <c r="O391" s="7"/>
      <c r="P391" s="7"/>
      <c r="Q391" s="7"/>
      <c r="R391" s="7"/>
      <c r="S391" s="7"/>
      <c r="T391" s="7"/>
      <c r="U391" s="7"/>
      <c r="V391" s="7"/>
      <c r="W391" s="7"/>
    </row>
    <row r="392" spans="1:23">
      <c r="A392" s="7"/>
      <c r="B392" s="8"/>
      <c r="C392" s="8"/>
      <c r="D392" s="7"/>
      <c r="E392" s="7"/>
      <c r="F392" s="7"/>
      <c r="G392" s="7"/>
      <c r="H392" s="143"/>
      <c r="I392" s="7"/>
      <c r="J392" s="7"/>
      <c r="K392" s="7"/>
      <c r="L392" s="7"/>
      <c r="M392" s="7"/>
      <c r="N392" s="7"/>
      <c r="O392" s="7"/>
      <c r="P392" s="7"/>
      <c r="Q392" s="7"/>
      <c r="R392" s="7"/>
      <c r="S392" s="7"/>
      <c r="T392" s="7"/>
      <c r="U392" s="7"/>
      <c r="V392" s="7"/>
      <c r="W392" s="7"/>
    </row>
    <row r="393" spans="1:23">
      <c r="A393" s="7"/>
      <c r="B393" s="8"/>
      <c r="C393" s="8"/>
      <c r="D393" s="7"/>
      <c r="E393" s="7"/>
      <c r="F393" s="7"/>
      <c r="G393" s="7"/>
      <c r="H393" s="143"/>
      <c r="I393" s="7"/>
      <c r="J393" s="7"/>
      <c r="K393" s="7"/>
      <c r="L393" s="7"/>
      <c r="M393" s="7"/>
      <c r="N393" s="7"/>
      <c r="O393" s="7"/>
      <c r="P393" s="7"/>
      <c r="Q393" s="7"/>
      <c r="R393" s="7"/>
      <c r="S393" s="7"/>
      <c r="T393" s="7"/>
      <c r="U393" s="7"/>
      <c r="V393" s="7"/>
      <c r="W393" s="7"/>
    </row>
    <row r="394" spans="1:23">
      <c r="A394" s="7"/>
      <c r="B394" s="8"/>
      <c r="C394" s="8"/>
      <c r="D394" s="7"/>
      <c r="E394" s="7"/>
      <c r="F394" s="7"/>
      <c r="G394" s="7"/>
      <c r="H394" s="143"/>
      <c r="I394" s="7"/>
      <c r="J394" s="7"/>
      <c r="K394" s="7"/>
      <c r="L394" s="7"/>
      <c r="M394" s="7"/>
      <c r="N394" s="7"/>
      <c r="O394" s="7"/>
      <c r="P394" s="7"/>
      <c r="Q394" s="7"/>
      <c r="R394" s="7"/>
      <c r="S394" s="7"/>
      <c r="T394" s="7"/>
      <c r="U394" s="7"/>
      <c r="V394" s="7"/>
      <c r="W394" s="7"/>
    </row>
    <row r="395" spans="1:23">
      <c r="A395" s="7"/>
      <c r="B395" s="8"/>
      <c r="C395" s="8"/>
      <c r="D395" s="7"/>
      <c r="E395" s="7"/>
      <c r="F395" s="7"/>
      <c r="G395" s="7"/>
      <c r="H395" s="143"/>
      <c r="I395" s="7"/>
      <c r="J395" s="7"/>
      <c r="K395" s="7"/>
      <c r="L395" s="7"/>
      <c r="M395" s="7"/>
      <c r="N395" s="7"/>
      <c r="O395" s="7"/>
      <c r="P395" s="7"/>
      <c r="Q395" s="7"/>
      <c r="R395" s="7"/>
      <c r="S395" s="7"/>
      <c r="T395" s="7"/>
      <c r="U395" s="7"/>
      <c r="V395" s="7"/>
      <c r="W395" s="7"/>
    </row>
    <row r="396" spans="1:23">
      <c r="A396" s="7"/>
      <c r="B396" s="8"/>
      <c r="C396" s="8"/>
      <c r="D396" s="7"/>
      <c r="E396" s="7"/>
      <c r="F396" s="7"/>
      <c r="G396" s="7"/>
      <c r="H396" s="143"/>
      <c r="I396" s="7"/>
      <c r="J396" s="7"/>
      <c r="K396" s="7"/>
      <c r="L396" s="7"/>
      <c r="M396" s="7"/>
      <c r="N396" s="7"/>
      <c r="O396" s="7"/>
      <c r="P396" s="7"/>
      <c r="Q396" s="7"/>
      <c r="R396" s="7"/>
      <c r="S396" s="7"/>
      <c r="T396" s="7"/>
      <c r="U396" s="7"/>
      <c r="V396" s="7"/>
      <c r="W396" s="7"/>
    </row>
    <row r="397" spans="1:23">
      <c r="A397" s="7"/>
      <c r="B397" s="8"/>
      <c r="C397" s="8"/>
      <c r="D397" s="7"/>
      <c r="E397" s="7"/>
      <c r="F397" s="7"/>
      <c r="G397" s="7"/>
      <c r="H397" s="143"/>
      <c r="I397" s="7"/>
      <c r="J397" s="7"/>
      <c r="K397" s="7"/>
      <c r="L397" s="7"/>
      <c r="M397" s="7"/>
      <c r="N397" s="7"/>
      <c r="O397" s="7"/>
      <c r="P397" s="7"/>
      <c r="Q397" s="7"/>
      <c r="R397" s="7"/>
      <c r="S397" s="7"/>
      <c r="T397" s="7"/>
      <c r="U397" s="7"/>
      <c r="V397" s="7"/>
      <c r="W397" s="7"/>
    </row>
    <row r="398" spans="1:23">
      <c r="A398" s="7"/>
      <c r="B398" s="8"/>
      <c r="C398" s="8"/>
      <c r="D398" s="7"/>
      <c r="E398" s="7"/>
      <c r="F398" s="7"/>
      <c r="G398" s="7"/>
      <c r="H398" s="143"/>
      <c r="I398" s="7"/>
      <c r="J398" s="7"/>
      <c r="K398" s="7"/>
      <c r="L398" s="7"/>
      <c r="M398" s="7"/>
      <c r="N398" s="7"/>
      <c r="O398" s="7"/>
      <c r="P398" s="7"/>
      <c r="Q398" s="7"/>
      <c r="R398" s="7"/>
      <c r="S398" s="7"/>
      <c r="T398" s="7"/>
      <c r="U398" s="7"/>
      <c r="V398" s="7"/>
      <c r="W398" s="7"/>
    </row>
    <row r="399" spans="1:23">
      <c r="A399" s="7"/>
      <c r="B399" s="8"/>
      <c r="C399" s="8"/>
      <c r="D399" s="7"/>
      <c r="E399" s="7"/>
      <c r="F399" s="7"/>
      <c r="G399" s="7"/>
      <c r="H399" s="143"/>
      <c r="I399" s="7"/>
      <c r="J399" s="7"/>
      <c r="K399" s="7"/>
      <c r="L399" s="7"/>
      <c r="M399" s="7"/>
      <c r="N399" s="7"/>
      <c r="O399" s="7"/>
      <c r="P399" s="7"/>
      <c r="Q399" s="7"/>
      <c r="R399" s="7"/>
      <c r="S399" s="7"/>
      <c r="T399" s="7"/>
      <c r="U399" s="7"/>
      <c r="V399" s="7"/>
      <c r="W399" s="7"/>
    </row>
    <row r="400" spans="1:23">
      <c r="A400" s="7"/>
      <c r="B400" s="8"/>
      <c r="C400" s="8"/>
      <c r="D400" s="7"/>
      <c r="E400" s="7"/>
      <c r="F400" s="7"/>
      <c r="G400" s="7"/>
      <c r="H400" s="143"/>
      <c r="I400" s="7"/>
      <c r="J400" s="7"/>
      <c r="K400" s="7"/>
      <c r="L400" s="7"/>
      <c r="M400" s="7"/>
      <c r="N400" s="7"/>
      <c r="O400" s="7"/>
      <c r="P400" s="7"/>
      <c r="Q400" s="7"/>
      <c r="R400" s="7"/>
      <c r="S400" s="7"/>
      <c r="T400" s="7"/>
      <c r="U400" s="7"/>
      <c r="V400" s="7"/>
      <c r="W400" s="7"/>
    </row>
    <row r="401" spans="1:23">
      <c r="A401" s="7"/>
      <c r="B401" s="8"/>
      <c r="C401" s="8"/>
      <c r="D401" s="7"/>
      <c r="E401" s="7"/>
      <c r="F401" s="7"/>
      <c r="G401" s="7"/>
      <c r="H401" s="143"/>
      <c r="I401" s="7"/>
      <c r="J401" s="7"/>
      <c r="K401" s="7"/>
      <c r="L401" s="7"/>
      <c r="M401" s="7"/>
      <c r="N401" s="7"/>
      <c r="O401" s="7"/>
      <c r="P401" s="7"/>
      <c r="Q401" s="7"/>
      <c r="R401" s="7"/>
      <c r="S401" s="7"/>
      <c r="T401" s="7"/>
      <c r="U401" s="7"/>
      <c r="V401" s="7"/>
      <c r="W401" s="7"/>
    </row>
    <row r="402" spans="1:23">
      <c r="A402" s="7"/>
      <c r="B402" s="8"/>
      <c r="C402" s="8"/>
      <c r="D402" s="7"/>
      <c r="E402" s="7"/>
      <c r="F402" s="7"/>
      <c r="G402" s="7"/>
      <c r="H402" s="143"/>
      <c r="I402" s="7"/>
      <c r="J402" s="7"/>
      <c r="K402" s="7"/>
      <c r="L402" s="7"/>
      <c r="M402" s="7"/>
      <c r="N402" s="7"/>
      <c r="O402" s="7"/>
      <c r="P402" s="7"/>
      <c r="Q402" s="7"/>
      <c r="R402" s="7"/>
      <c r="S402" s="7"/>
      <c r="T402" s="7"/>
      <c r="U402" s="7"/>
      <c r="V402" s="7"/>
      <c r="W402" s="7"/>
    </row>
    <row r="403" spans="1:23">
      <c r="A403" s="7"/>
      <c r="B403" s="8"/>
      <c r="C403" s="8"/>
      <c r="D403" s="7"/>
      <c r="E403" s="7"/>
      <c r="F403" s="7"/>
      <c r="G403" s="7"/>
      <c r="H403" s="143"/>
      <c r="I403" s="7"/>
      <c r="J403" s="7"/>
      <c r="K403" s="7"/>
      <c r="L403" s="7"/>
      <c r="M403" s="7"/>
      <c r="N403" s="7"/>
      <c r="O403" s="7"/>
      <c r="P403" s="7"/>
      <c r="Q403" s="7"/>
      <c r="R403" s="7"/>
      <c r="S403" s="7"/>
      <c r="T403" s="7"/>
      <c r="U403" s="7"/>
      <c r="V403" s="7"/>
      <c r="W403" s="7"/>
    </row>
    <row r="404" spans="1:23">
      <c r="A404" s="7"/>
      <c r="B404" s="8"/>
      <c r="C404" s="8"/>
      <c r="D404" s="7"/>
      <c r="E404" s="7"/>
      <c r="F404" s="7"/>
      <c r="G404" s="7"/>
      <c r="H404" s="143"/>
      <c r="I404" s="7"/>
      <c r="J404" s="7"/>
      <c r="K404" s="7"/>
      <c r="L404" s="7"/>
      <c r="M404" s="7"/>
      <c r="N404" s="7"/>
      <c r="O404" s="7"/>
      <c r="P404" s="7"/>
      <c r="Q404" s="7"/>
      <c r="R404" s="7"/>
      <c r="S404" s="7"/>
      <c r="T404" s="7"/>
      <c r="U404" s="7"/>
      <c r="V404" s="7"/>
      <c r="W404" s="7"/>
    </row>
    <row r="405" spans="1:23">
      <c r="A405" s="7"/>
      <c r="B405" s="8"/>
      <c r="C405" s="8"/>
      <c r="D405" s="7"/>
      <c r="E405" s="7"/>
      <c r="F405" s="7"/>
      <c r="G405" s="7"/>
      <c r="H405" s="143"/>
      <c r="I405" s="7"/>
      <c r="J405" s="7"/>
      <c r="K405" s="7"/>
      <c r="L405" s="7"/>
      <c r="M405" s="7"/>
      <c r="N405" s="7"/>
      <c r="O405" s="7"/>
      <c r="P405" s="7"/>
      <c r="Q405" s="7"/>
      <c r="R405" s="7"/>
      <c r="S405" s="7"/>
      <c r="T405" s="7"/>
      <c r="U405" s="7"/>
      <c r="V405" s="7"/>
      <c r="W405" s="7"/>
    </row>
    <row r="406" spans="1:23">
      <c r="A406" s="7"/>
      <c r="B406" s="8"/>
      <c r="C406" s="8"/>
      <c r="D406" s="7"/>
      <c r="E406" s="7"/>
      <c r="F406" s="7"/>
      <c r="G406" s="7"/>
      <c r="H406" s="143"/>
      <c r="I406" s="7"/>
      <c r="J406" s="7"/>
      <c r="K406" s="7"/>
      <c r="L406" s="7"/>
      <c r="M406" s="7"/>
      <c r="N406" s="7"/>
      <c r="O406" s="7"/>
      <c r="P406" s="7"/>
      <c r="Q406" s="7"/>
      <c r="R406" s="7"/>
      <c r="S406" s="7"/>
      <c r="T406" s="7"/>
      <c r="U406" s="7"/>
      <c r="V406" s="7"/>
      <c r="W406" s="7"/>
    </row>
    <row r="407" spans="1:23">
      <c r="A407" s="7"/>
      <c r="B407" s="8"/>
      <c r="C407" s="8"/>
      <c r="D407" s="7"/>
      <c r="E407" s="7"/>
      <c r="F407" s="7"/>
      <c r="G407" s="7"/>
      <c r="H407" s="143"/>
      <c r="I407" s="7"/>
      <c r="J407" s="7"/>
      <c r="K407" s="7"/>
      <c r="L407" s="7"/>
      <c r="M407" s="7"/>
      <c r="N407" s="7"/>
      <c r="O407" s="7"/>
      <c r="P407" s="7"/>
      <c r="Q407" s="7"/>
      <c r="R407" s="7"/>
      <c r="S407" s="7"/>
      <c r="T407" s="7"/>
      <c r="U407" s="7"/>
      <c r="V407" s="7"/>
      <c r="W407" s="7"/>
    </row>
    <row r="408" spans="1:23">
      <c r="A408" s="7"/>
      <c r="B408" s="8"/>
      <c r="C408" s="8"/>
      <c r="D408" s="7"/>
      <c r="E408" s="7"/>
      <c r="F408" s="7"/>
      <c r="G408" s="7"/>
      <c r="H408" s="143"/>
      <c r="I408" s="7"/>
      <c r="J408" s="7"/>
      <c r="K408" s="7"/>
      <c r="L408" s="7"/>
      <c r="M408" s="7"/>
      <c r="N408" s="7"/>
      <c r="O408" s="7"/>
      <c r="P408" s="7"/>
      <c r="Q408" s="7"/>
      <c r="R408" s="7"/>
      <c r="S408" s="7"/>
      <c r="T408" s="7"/>
      <c r="U408" s="7"/>
      <c r="V408" s="7"/>
      <c r="W408" s="7"/>
    </row>
    <row r="409" spans="1:23">
      <c r="A409" s="7"/>
      <c r="B409" s="8"/>
      <c r="C409" s="8"/>
      <c r="D409" s="7"/>
      <c r="E409" s="7"/>
      <c r="F409" s="7"/>
      <c r="G409" s="7"/>
      <c r="H409" s="143"/>
      <c r="I409" s="7"/>
      <c r="J409" s="7"/>
      <c r="K409" s="7"/>
      <c r="L409" s="7"/>
      <c r="M409" s="7"/>
      <c r="N409" s="7"/>
      <c r="O409" s="7"/>
      <c r="P409" s="7"/>
      <c r="Q409" s="7"/>
      <c r="R409" s="7"/>
      <c r="S409" s="7"/>
      <c r="T409" s="7"/>
      <c r="U409" s="7"/>
      <c r="V409" s="7"/>
      <c r="W409" s="7"/>
    </row>
    <row r="410" spans="1:23">
      <c r="A410" s="7"/>
      <c r="B410" s="8"/>
      <c r="C410" s="8"/>
      <c r="D410" s="7"/>
      <c r="E410" s="7"/>
      <c r="F410" s="7"/>
      <c r="G410" s="7"/>
      <c r="H410" s="143"/>
      <c r="I410" s="7"/>
      <c r="J410" s="7"/>
      <c r="K410" s="7"/>
      <c r="L410" s="7"/>
      <c r="M410" s="7"/>
      <c r="N410" s="7"/>
      <c r="O410" s="7"/>
      <c r="P410" s="7"/>
      <c r="Q410" s="7"/>
      <c r="R410" s="7"/>
      <c r="S410" s="7"/>
      <c r="T410" s="7"/>
      <c r="U410" s="7"/>
      <c r="V410" s="7"/>
      <c r="W410" s="7"/>
    </row>
    <row r="411" spans="1:23">
      <c r="A411" s="7"/>
      <c r="B411" s="8"/>
      <c r="C411" s="8"/>
      <c r="D411" s="7"/>
      <c r="E411" s="7"/>
      <c r="F411" s="7"/>
      <c r="G411" s="7"/>
      <c r="H411" s="143"/>
      <c r="I411" s="7"/>
      <c r="J411" s="7"/>
      <c r="K411" s="7"/>
      <c r="L411" s="7"/>
      <c r="M411" s="7"/>
      <c r="N411" s="7"/>
      <c r="O411" s="7"/>
      <c r="P411" s="7"/>
      <c r="Q411" s="7"/>
      <c r="R411" s="7"/>
      <c r="S411" s="7"/>
      <c r="T411" s="7"/>
      <c r="U411" s="7"/>
      <c r="V411" s="7"/>
      <c r="W411" s="7"/>
    </row>
    <row r="412" spans="1:23">
      <c r="A412" s="7"/>
      <c r="B412" s="8"/>
      <c r="C412" s="8"/>
      <c r="D412" s="7"/>
      <c r="E412" s="7"/>
      <c r="F412" s="7"/>
      <c r="G412" s="7"/>
      <c r="H412" s="143"/>
      <c r="I412" s="7"/>
      <c r="J412" s="7"/>
      <c r="K412" s="7"/>
      <c r="L412" s="7"/>
      <c r="M412" s="7"/>
      <c r="N412" s="7"/>
      <c r="O412" s="7"/>
      <c r="P412" s="7"/>
      <c r="Q412" s="7"/>
      <c r="R412" s="7"/>
      <c r="S412" s="7"/>
      <c r="T412" s="7"/>
      <c r="U412" s="7"/>
      <c r="V412" s="7"/>
      <c r="W412" s="7"/>
    </row>
    <row r="413" spans="1:23">
      <c r="A413" s="7"/>
      <c r="B413" s="8"/>
      <c r="C413" s="8"/>
      <c r="D413" s="7"/>
      <c r="E413" s="7"/>
      <c r="F413" s="7"/>
      <c r="G413" s="7"/>
      <c r="H413" s="143"/>
      <c r="I413" s="7"/>
      <c r="J413" s="7"/>
      <c r="K413" s="7"/>
      <c r="L413" s="7"/>
      <c r="M413" s="7"/>
      <c r="N413" s="7"/>
      <c r="O413" s="7"/>
      <c r="P413" s="7"/>
      <c r="Q413" s="7"/>
      <c r="R413" s="7"/>
      <c r="S413" s="7"/>
      <c r="T413" s="7"/>
      <c r="U413" s="7"/>
      <c r="V413" s="7"/>
      <c r="W413" s="7"/>
    </row>
    <row r="414" spans="1:23">
      <c r="A414" s="7"/>
      <c r="B414" s="8"/>
      <c r="C414" s="8"/>
      <c r="D414" s="7"/>
      <c r="E414" s="7"/>
      <c r="F414" s="7"/>
      <c r="G414" s="7"/>
      <c r="H414" s="143"/>
      <c r="I414" s="7"/>
      <c r="J414" s="7"/>
      <c r="K414" s="7"/>
      <c r="L414" s="7"/>
      <c r="M414" s="7"/>
      <c r="N414" s="7"/>
      <c r="O414" s="7"/>
      <c r="P414" s="7"/>
      <c r="Q414" s="7"/>
      <c r="R414" s="7"/>
      <c r="S414" s="7"/>
      <c r="T414" s="7"/>
      <c r="U414" s="7"/>
      <c r="V414" s="7"/>
      <c r="W414" s="7"/>
    </row>
    <row r="415" spans="1:23">
      <c r="A415" s="7"/>
      <c r="B415" s="8"/>
      <c r="C415" s="8"/>
      <c r="D415" s="7"/>
      <c r="E415" s="7"/>
      <c r="F415" s="7"/>
      <c r="G415" s="7"/>
      <c r="H415" s="143"/>
      <c r="I415" s="7"/>
      <c r="J415" s="7"/>
      <c r="K415" s="7"/>
      <c r="L415" s="7"/>
      <c r="M415" s="7"/>
      <c r="N415" s="7"/>
      <c r="O415" s="7"/>
      <c r="P415" s="7"/>
      <c r="Q415" s="7"/>
      <c r="R415" s="7"/>
      <c r="S415" s="7"/>
      <c r="T415" s="7"/>
      <c r="U415" s="7"/>
      <c r="V415" s="7"/>
      <c r="W415" s="7"/>
    </row>
    <row r="416" spans="1:23">
      <c r="A416" s="7"/>
      <c r="B416" s="8"/>
      <c r="C416" s="8"/>
      <c r="D416" s="7"/>
      <c r="E416" s="7"/>
      <c r="F416" s="7"/>
      <c r="G416" s="7"/>
      <c r="H416" s="143"/>
      <c r="I416" s="7"/>
      <c r="J416" s="7"/>
      <c r="K416" s="7"/>
      <c r="L416" s="7"/>
      <c r="M416" s="7"/>
      <c r="N416" s="7"/>
      <c r="O416" s="7"/>
      <c r="P416" s="7"/>
      <c r="Q416" s="7"/>
      <c r="R416" s="7"/>
      <c r="S416" s="7"/>
      <c r="T416" s="7"/>
      <c r="U416" s="7"/>
      <c r="V416" s="7"/>
      <c r="W416" s="7"/>
    </row>
    <row r="417" spans="1:23">
      <c r="A417" s="7"/>
      <c r="B417" s="8"/>
      <c r="C417" s="8"/>
      <c r="D417" s="7"/>
      <c r="E417" s="7"/>
      <c r="F417" s="7"/>
      <c r="G417" s="7"/>
      <c r="H417" s="143"/>
      <c r="I417" s="7"/>
      <c r="J417" s="7"/>
      <c r="K417" s="7"/>
      <c r="L417" s="7"/>
      <c r="M417" s="7"/>
      <c r="N417" s="7"/>
      <c r="O417" s="7"/>
      <c r="P417" s="7"/>
      <c r="Q417" s="7"/>
      <c r="R417" s="7"/>
      <c r="S417" s="7"/>
      <c r="T417" s="7"/>
      <c r="U417" s="7"/>
      <c r="V417" s="7"/>
      <c r="W417" s="7"/>
    </row>
    <row r="418" spans="1:23">
      <c r="A418" s="7"/>
      <c r="B418" s="8"/>
      <c r="C418" s="8"/>
      <c r="D418" s="7"/>
      <c r="E418" s="7"/>
      <c r="F418" s="7"/>
      <c r="G418" s="7"/>
      <c r="H418" s="143"/>
      <c r="I418" s="7"/>
      <c r="J418" s="7"/>
      <c r="K418" s="7"/>
      <c r="L418" s="7"/>
      <c r="M418" s="7"/>
      <c r="N418" s="7"/>
      <c r="O418" s="7"/>
      <c r="P418" s="7"/>
      <c r="Q418" s="7"/>
      <c r="R418" s="7"/>
      <c r="S418" s="7"/>
      <c r="T418" s="7"/>
      <c r="U418" s="7"/>
      <c r="V418" s="7"/>
      <c r="W418" s="7"/>
    </row>
    <row r="419" spans="1:23">
      <c r="A419" s="7"/>
      <c r="B419" s="8"/>
      <c r="C419" s="8"/>
      <c r="D419" s="7"/>
      <c r="E419" s="7"/>
      <c r="F419" s="7"/>
      <c r="G419" s="7"/>
      <c r="H419" s="143"/>
      <c r="I419" s="7"/>
      <c r="J419" s="7"/>
      <c r="K419" s="7"/>
      <c r="L419" s="7"/>
      <c r="M419" s="7"/>
      <c r="N419" s="7"/>
      <c r="O419" s="7"/>
      <c r="P419" s="7"/>
      <c r="Q419" s="7"/>
      <c r="R419" s="7"/>
      <c r="S419" s="7"/>
      <c r="T419" s="7"/>
      <c r="U419" s="7"/>
      <c r="V419" s="7"/>
      <c r="W419" s="7"/>
    </row>
    <row r="420" spans="1:23">
      <c r="A420" s="7"/>
      <c r="B420" s="8"/>
      <c r="C420" s="8"/>
      <c r="D420" s="7"/>
      <c r="E420" s="7"/>
      <c r="F420" s="7"/>
      <c r="G420" s="7"/>
      <c r="H420" s="143"/>
      <c r="I420" s="7"/>
      <c r="J420" s="7"/>
      <c r="K420" s="7"/>
      <c r="L420" s="7"/>
      <c r="M420" s="7"/>
      <c r="N420" s="7"/>
      <c r="O420" s="7"/>
      <c r="P420" s="7"/>
      <c r="Q420" s="7"/>
      <c r="R420" s="7"/>
      <c r="S420" s="7"/>
      <c r="T420" s="7"/>
      <c r="U420" s="7"/>
      <c r="V420" s="7"/>
      <c r="W420" s="7"/>
    </row>
    <row r="421" spans="1:23">
      <c r="A421" s="7"/>
      <c r="B421" s="8"/>
      <c r="C421" s="8"/>
      <c r="D421" s="7"/>
      <c r="E421" s="7"/>
      <c r="F421" s="7"/>
      <c r="G421" s="7"/>
      <c r="H421" s="143"/>
      <c r="I421" s="7"/>
      <c r="J421" s="7"/>
      <c r="K421" s="7"/>
      <c r="L421" s="7"/>
      <c r="M421" s="7"/>
      <c r="N421" s="7"/>
      <c r="O421" s="7"/>
      <c r="P421" s="7"/>
      <c r="Q421" s="7"/>
      <c r="R421" s="7"/>
      <c r="S421" s="7"/>
      <c r="T421" s="7"/>
      <c r="U421" s="7"/>
      <c r="V421" s="7"/>
      <c r="W421" s="7"/>
    </row>
    <row r="422" spans="1:23">
      <c r="A422" s="7"/>
      <c r="B422" s="8"/>
      <c r="C422" s="8"/>
      <c r="D422" s="7"/>
      <c r="E422" s="7"/>
      <c r="F422" s="7"/>
      <c r="G422" s="7"/>
      <c r="H422" s="143"/>
      <c r="I422" s="7"/>
      <c r="J422" s="7"/>
      <c r="K422" s="7"/>
      <c r="L422" s="7"/>
      <c r="M422" s="7"/>
      <c r="N422" s="7"/>
      <c r="O422" s="7"/>
      <c r="P422" s="7"/>
      <c r="Q422" s="7"/>
      <c r="R422" s="7"/>
      <c r="S422" s="7"/>
      <c r="T422" s="7"/>
      <c r="U422" s="7"/>
      <c r="V422" s="7"/>
      <c r="W422" s="7"/>
    </row>
    <row r="423" spans="1:23">
      <c r="A423" s="7"/>
      <c r="B423" s="8"/>
      <c r="C423" s="8"/>
      <c r="D423" s="7"/>
      <c r="E423" s="7"/>
      <c r="F423" s="7"/>
      <c r="G423" s="7"/>
      <c r="H423" s="143"/>
      <c r="I423" s="7"/>
      <c r="J423" s="7"/>
      <c r="K423" s="7"/>
      <c r="L423" s="7"/>
      <c r="M423" s="7"/>
      <c r="N423" s="7"/>
      <c r="O423" s="7"/>
      <c r="P423" s="7"/>
      <c r="Q423" s="7"/>
      <c r="R423" s="7"/>
      <c r="S423" s="7"/>
      <c r="T423" s="7"/>
      <c r="U423" s="7"/>
      <c r="V423" s="7"/>
      <c r="W423" s="7"/>
    </row>
    <row r="424" spans="1:23">
      <c r="A424" s="7"/>
      <c r="B424" s="8"/>
      <c r="C424" s="8"/>
      <c r="D424" s="7"/>
      <c r="E424" s="7"/>
      <c r="F424" s="7"/>
      <c r="G424" s="7"/>
      <c r="H424" s="143"/>
      <c r="I424" s="7"/>
      <c r="J424" s="7"/>
      <c r="K424" s="7"/>
      <c r="L424" s="7"/>
      <c r="M424" s="7"/>
      <c r="N424" s="7"/>
      <c r="O424" s="7"/>
      <c r="P424" s="7"/>
      <c r="Q424" s="7"/>
      <c r="R424" s="7"/>
      <c r="S424" s="7"/>
      <c r="T424" s="7"/>
      <c r="U424" s="7"/>
      <c r="V424" s="7"/>
      <c r="W424" s="7"/>
    </row>
    <row r="425" spans="1:23">
      <c r="A425" s="7"/>
      <c r="B425" s="8"/>
      <c r="C425" s="8"/>
      <c r="D425" s="7"/>
      <c r="E425" s="7"/>
      <c r="F425" s="7"/>
      <c r="G425" s="7"/>
      <c r="H425" s="143"/>
      <c r="I425" s="7"/>
      <c r="J425" s="7"/>
      <c r="K425" s="7"/>
      <c r="L425" s="7"/>
      <c r="M425" s="7"/>
      <c r="N425" s="7"/>
      <c r="O425" s="7"/>
      <c r="P425" s="7"/>
      <c r="Q425" s="7"/>
      <c r="R425" s="7"/>
      <c r="S425" s="7"/>
      <c r="T425" s="7"/>
      <c r="U425" s="7"/>
      <c r="V425" s="7"/>
      <c r="W425" s="7"/>
    </row>
    <row r="426" spans="1:23">
      <c r="A426" s="7"/>
      <c r="B426" s="8"/>
      <c r="C426" s="8"/>
      <c r="D426" s="7"/>
      <c r="E426" s="7"/>
      <c r="F426" s="7"/>
      <c r="G426" s="7"/>
      <c r="H426" s="143"/>
      <c r="I426" s="7"/>
      <c r="J426" s="7"/>
      <c r="K426" s="7"/>
      <c r="L426" s="7"/>
      <c r="M426" s="7"/>
      <c r="N426" s="7"/>
      <c r="O426" s="7"/>
      <c r="P426" s="7"/>
      <c r="Q426" s="7"/>
      <c r="R426" s="7"/>
      <c r="S426" s="7"/>
      <c r="T426" s="7"/>
      <c r="U426" s="7"/>
      <c r="V426" s="7"/>
      <c r="W426" s="7"/>
    </row>
    <row r="427" spans="1:23">
      <c r="A427" s="7"/>
      <c r="B427" s="8"/>
      <c r="C427" s="8"/>
      <c r="D427" s="7"/>
      <c r="E427" s="7"/>
      <c r="F427" s="7"/>
      <c r="G427" s="7"/>
      <c r="H427" s="143"/>
      <c r="I427" s="7"/>
      <c r="J427" s="7"/>
      <c r="K427" s="7"/>
      <c r="L427" s="7"/>
      <c r="M427" s="7"/>
      <c r="N427" s="7"/>
      <c r="O427" s="7"/>
      <c r="P427" s="7"/>
      <c r="Q427" s="7"/>
      <c r="R427" s="7"/>
      <c r="S427" s="7"/>
      <c r="T427" s="7"/>
      <c r="U427" s="7"/>
      <c r="V427" s="7"/>
      <c r="W427" s="7"/>
    </row>
    <row r="428" spans="1:23">
      <c r="A428" s="7"/>
      <c r="B428" s="8"/>
      <c r="C428" s="8"/>
      <c r="D428" s="7"/>
      <c r="E428" s="7"/>
      <c r="F428" s="7"/>
      <c r="G428" s="7"/>
      <c r="H428" s="143"/>
      <c r="I428" s="7"/>
      <c r="J428" s="7"/>
      <c r="K428" s="7"/>
      <c r="L428" s="7"/>
      <c r="M428" s="7"/>
      <c r="N428" s="7"/>
      <c r="O428" s="7"/>
      <c r="P428" s="7"/>
      <c r="Q428" s="7"/>
      <c r="R428" s="7"/>
      <c r="S428" s="7"/>
      <c r="T428" s="7"/>
      <c r="U428" s="7"/>
      <c r="V428" s="7"/>
      <c r="W428" s="7"/>
    </row>
    <row r="429" spans="1:23">
      <c r="A429" s="7"/>
      <c r="B429" s="8"/>
      <c r="C429" s="8"/>
      <c r="D429" s="7"/>
      <c r="E429" s="7"/>
      <c r="F429" s="7"/>
      <c r="G429" s="7"/>
      <c r="H429" s="143"/>
      <c r="I429" s="7"/>
      <c r="J429" s="7"/>
      <c r="K429" s="7"/>
      <c r="L429" s="7"/>
      <c r="M429" s="7"/>
      <c r="N429" s="7"/>
      <c r="O429" s="7"/>
      <c r="P429" s="7"/>
      <c r="Q429" s="7"/>
      <c r="R429" s="7"/>
      <c r="S429" s="7"/>
      <c r="T429" s="7"/>
      <c r="U429" s="7"/>
      <c r="V429" s="7"/>
      <c r="W429" s="7"/>
    </row>
    <row r="430" spans="1:23">
      <c r="A430" s="7"/>
      <c r="B430" s="8"/>
      <c r="C430" s="8"/>
      <c r="D430" s="7"/>
      <c r="E430" s="7"/>
      <c r="F430" s="7"/>
      <c r="G430" s="7"/>
      <c r="H430" s="143"/>
      <c r="I430" s="7"/>
      <c r="J430" s="7"/>
      <c r="K430" s="7"/>
      <c r="L430" s="7"/>
      <c r="M430" s="7"/>
      <c r="N430" s="7"/>
      <c r="O430" s="7"/>
      <c r="P430" s="7"/>
      <c r="Q430" s="7"/>
      <c r="R430" s="7"/>
      <c r="S430" s="7"/>
      <c r="T430" s="7"/>
      <c r="U430" s="7"/>
      <c r="V430" s="7"/>
      <c r="W430" s="7"/>
    </row>
    <row r="431" spans="1:23">
      <c r="A431" s="7"/>
      <c r="B431" s="8"/>
      <c r="C431" s="8"/>
      <c r="D431" s="7"/>
      <c r="E431" s="7"/>
      <c r="F431" s="7"/>
      <c r="G431" s="7"/>
      <c r="H431" s="143"/>
      <c r="I431" s="7"/>
      <c r="J431" s="7"/>
      <c r="K431" s="7"/>
      <c r="L431" s="7"/>
      <c r="M431" s="7"/>
      <c r="N431" s="7"/>
      <c r="O431" s="7"/>
      <c r="P431" s="7"/>
      <c r="Q431" s="7"/>
      <c r="R431" s="7"/>
      <c r="S431" s="7"/>
      <c r="T431" s="7"/>
      <c r="U431" s="7"/>
      <c r="V431" s="7"/>
      <c r="W431" s="7"/>
    </row>
    <row r="432" spans="1:23">
      <c r="A432" s="7"/>
      <c r="B432" s="8"/>
      <c r="C432" s="8"/>
      <c r="D432" s="7"/>
      <c r="E432" s="7"/>
      <c r="F432" s="7"/>
      <c r="G432" s="7"/>
      <c r="H432" s="143"/>
      <c r="I432" s="7"/>
      <c r="J432" s="7"/>
      <c r="K432" s="7"/>
      <c r="L432" s="7"/>
      <c r="M432" s="7"/>
      <c r="N432" s="7"/>
      <c r="O432" s="7"/>
      <c r="P432" s="7"/>
      <c r="Q432" s="7"/>
      <c r="R432" s="7"/>
      <c r="S432" s="7"/>
      <c r="T432" s="7"/>
      <c r="U432" s="7"/>
      <c r="V432" s="7"/>
      <c r="W432" s="7"/>
    </row>
    <row r="433" spans="1:23">
      <c r="A433" s="7"/>
      <c r="B433" s="8"/>
      <c r="C433" s="8"/>
      <c r="D433" s="7"/>
      <c r="E433" s="7"/>
      <c r="F433" s="7"/>
      <c r="G433" s="7"/>
      <c r="H433" s="143"/>
      <c r="I433" s="7"/>
      <c r="J433" s="7"/>
      <c r="K433" s="7"/>
      <c r="L433" s="7"/>
      <c r="M433" s="7"/>
      <c r="N433" s="7"/>
      <c r="O433" s="7"/>
      <c r="P433" s="7"/>
      <c r="Q433" s="7"/>
      <c r="R433" s="7"/>
      <c r="S433" s="7"/>
      <c r="T433" s="7"/>
      <c r="U433" s="7"/>
      <c r="V433" s="7"/>
      <c r="W433" s="7"/>
    </row>
    <row r="434" spans="1:23">
      <c r="A434" s="7"/>
      <c r="B434" s="8"/>
      <c r="C434" s="8"/>
      <c r="D434" s="7"/>
      <c r="E434" s="7"/>
      <c r="F434" s="7"/>
      <c r="G434" s="7"/>
      <c r="H434" s="143"/>
      <c r="I434" s="7"/>
      <c r="J434" s="7"/>
      <c r="K434" s="7"/>
      <c r="L434" s="7"/>
      <c r="M434" s="7"/>
      <c r="N434" s="7"/>
      <c r="O434" s="7"/>
      <c r="P434" s="7"/>
      <c r="Q434" s="7"/>
      <c r="R434" s="7"/>
      <c r="S434" s="7"/>
      <c r="T434" s="7"/>
      <c r="U434" s="7"/>
      <c r="V434" s="7"/>
      <c r="W434" s="7"/>
    </row>
    <row r="435" spans="1:23">
      <c r="A435" s="7"/>
      <c r="B435" s="8"/>
      <c r="C435" s="8"/>
      <c r="D435" s="7"/>
      <c r="E435" s="7"/>
      <c r="F435" s="7"/>
      <c r="G435" s="7"/>
      <c r="H435" s="143"/>
      <c r="I435" s="7"/>
      <c r="J435" s="7"/>
      <c r="K435" s="7"/>
      <c r="L435" s="7"/>
      <c r="M435" s="7"/>
      <c r="N435" s="7"/>
      <c r="O435" s="7"/>
      <c r="P435" s="7"/>
      <c r="Q435" s="7"/>
      <c r="R435" s="7"/>
      <c r="S435" s="7"/>
      <c r="T435" s="7"/>
      <c r="U435" s="7"/>
      <c r="V435" s="7"/>
      <c r="W435" s="7"/>
    </row>
    <row r="436" spans="1:23">
      <c r="A436" s="7"/>
      <c r="B436" s="8"/>
      <c r="C436" s="8"/>
      <c r="D436" s="7"/>
      <c r="E436" s="7"/>
      <c r="F436" s="7"/>
      <c r="G436" s="7"/>
      <c r="H436" s="143"/>
      <c r="I436" s="7"/>
      <c r="J436" s="7"/>
      <c r="K436" s="7"/>
      <c r="L436" s="7"/>
      <c r="M436" s="7"/>
      <c r="N436" s="7"/>
      <c r="O436" s="7"/>
      <c r="P436" s="7"/>
      <c r="Q436" s="7"/>
      <c r="R436" s="7"/>
      <c r="S436" s="7"/>
      <c r="T436" s="7"/>
      <c r="U436" s="7"/>
      <c r="V436" s="7"/>
      <c r="W436" s="7"/>
    </row>
    <row r="437" spans="1:23">
      <c r="A437" s="7"/>
      <c r="B437" s="8"/>
      <c r="C437" s="8"/>
      <c r="D437" s="7"/>
      <c r="E437" s="7"/>
      <c r="F437" s="7"/>
      <c r="G437" s="7"/>
      <c r="H437" s="143"/>
      <c r="I437" s="7"/>
      <c r="J437" s="7"/>
      <c r="K437" s="7"/>
      <c r="L437" s="7"/>
      <c r="M437" s="7"/>
      <c r="N437" s="7"/>
      <c r="O437" s="7"/>
      <c r="P437" s="7"/>
      <c r="Q437" s="7"/>
      <c r="R437" s="7"/>
      <c r="S437" s="7"/>
      <c r="T437" s="7"/>
      <c r="U437" s="7"/>
      <c r="V437" s="7"/>
      <c r="W437" s="7"/>
    </row>
    <row r="438" spans="1:23">
      <c r="A438" s="7"/>
      <c r="B438" s="8"/>
      <c r="C438" s="8"/>
      <c r="D438" s="7"/>
      <c r="E438" s="7"/>
      <c r="F438" s="7"/>
      <c r="G438" s="7"/>
      <c r="H438" s="143"/>
      <c r="I438" s="7"/>
      <c r="J438" s="7"/>
      <c r="K438" s="7"/>
      <c r="L438" s="7"/>
      <c r="M438" s="7"/>
      <c r="N438" s="7"/>
      <c r="O438" s="7"/>
      <c r="P438" s="7"/>
      <c r="Q438" s="7"/>
      <c r="R438" s="7"/>
      <c r="S438" s="7"/>
      <c r="T438" s="7"/>
      <c r="U438" s="7"/>
      <c r="V438" s="7"/>
      <c r="W438" s="7"/>
    </row>
    <row r="439" spans="1:23">
      <c r="A439" s="7"/>
      <c r="B439" s="8"/>
      <c r="C439" s="8"/>
      <c r="D439" s="7"/>
      <c r="E439" s="7"/>
      <c r="F439" s="7"/>
      <c r="G439" s="7"/>
      <c r="H439" s="143"/>
      <c r="I439" s="7"/>
      <c r="J439" s="7"/>
      <c r="K439" s="7"/>
      <c r="L439" s="7"/>
      <c r="M439" s="7"/>
      <c r="N439" s="7"/>
      <c r="O439" s="7"/>
      <c r="P439" s="7"/>
      <c r="Q439" s="7"/>
      <c r="R439" s="7"/>
      <c r="S439" s="7"/>
      <c r="T439" s="7"/>
      <c r="U439" s="7"/>
      <c r="V439" s="7"/>
      <c r="W439" s="7"/>
    </row>
    <row r="440" spans="1:23">
      <c r="A440" s="7"/>
      <c r="B440" s="8"/>
      <c r="C440" s="8"/>
      <c r="D440" s="7"/>
      <c r="E440" s="7"/>
      <c r="F440" s="7"/>
      <c r="G440" s="7"/>
      <c r="H440" s="143"/>
      <c r="I440" s="7"/>
      <c r="J440" s="7"/>
      <c r="K440" s="7"/>
      <c r="L440" s="7"/>
      <c r="M440" s="7"/>
      <c r="N440" s="7"/>
      <c r="O440" s="7"/>
      <c r="P440" s="7"/>
      <c r="Q440" s="7"/>
      <c r="R440" s="7"/>
      <c r="S440" s="7"/>
      <c r="T440" s="7"/>
      <c r="U440" s="7"/>
      <c r="V440" s="7"/>
      <c r="W440" s="7"/>
    </row>
    <row r="441" spans="1:23">
      <c r="A441" s="7"/>
      <c r="B441" s="8"/>
      <c r="C441" s="8"/>
      <c r="D441" s="7"/>
      <c r="E441" s="7"/>
      <c r="F441" s="7"/>
      <c r="G441" s="7"/>
      <c r="H441" s="143"/>
      <c r="I441" s="7"/>
      <c r="J441" s="7"/>
      <c r="K441" s="7"/>
      <c r="L441" s="7"/>
      <c r="M441" s="7"/>
      <c r="N441" s="7"/>
      <c r="O441" s="7"/>
      <c r="P441" s="7"/>
      <c r="Q441" s="7"/>
      <c r="R441" s="7"/>
      <c r="S441" s="7"/>
      <c r="T441" s="7"/>
      <c r="U441" s="7"/>
      <c r="V441" s="7"/>
      <c r="W441" s="7"/>
    </row>
    <row r="442" spans="1:23">
      <c r="A442" s="7"/>
      <c r="B442" s="8"/>
      <c r="C442" s="8"/>
      <c r="D442" s="7"/>
      <c r="E442" s="7"/>
      <c r="F442" s="7"/>
      <c r="G442" s="7"/>
      <c r="H442" s="143"/>
      <c r="I442" s="7"/>
      <c r="J442" s="7"/>
      <c r="K442" s="7"/>
      <c r="L442" s="7"/>
      <c r="M442" s="7"/>
      <c r="N442" s="7"/>
      <c r="O442" s="7"/>
      <c r="P442" s="7"/>
      <c r="Q442" s="7"/>
      <c r="R442" s="7"/>
      <c r="S442" s="7"/>
      <c r="T442" s="7"/>
      <c r="U442" s="7"/>
      <c r="V442" s="7"/>
      <c r="W442" s="7"/>
    </row>
    <row r="443" spans="1:23">
      <c r="A443" s="7"/>
      <c r="B443" s="8"/>
      <c r="C443" s="8"/>
      <c r="D443" s="7"/>
      <c r="E443" s="7"/>
      <c r="F443" s="7"/>
      <c r="G443" s="7"/>
      <c r="H443" s="143"/>
      <c r="I443" s="7"/>
      <c r="J443" s="7"/>
      <c r="K443" s="7"/>
      <c r="L443" s="7"/>
      <c r="M443" s="7"/>
      <c r="N443" s="7"/>
      <c r="O443" s="7"/>
      <c r="P443" s="7"/>
      <c r="Q443" s="7"/>
      <c r="R443" s="7"/>
      <c r="S443" s="7"/>
      <c r="T443" s="7"/>
      <c r="U443" s="7"/>
      <c r="V443" s="7"/>
      <c r="W443" s="7"/>
    </row>
    <row r="444" spans="1:23">
      <c r="A444" s="7"/>
      <c r="B444" s="8"/>
      <c r="C444" s="8"/>
      <c r="D444" s="7"/>
      <c r="E444" s="7"/>
      <c r="F444" s="7"/>
      <c r="G444" s="7"/>
      <c r="H444" s="143"/>
      <c r="I444" s="7"/>
      <c r="J444" s="7"/>
      <c r="K444" s="7"/>
      <c r="L444" s="7"/>
      <c r="M444" s="7"/>
      <c r="N444" s="7"/>
      <c r="O444" s="7"/>
      <c r="P444" s="7"/>
      <c r="Q444" s="7"/>
      <c r="R444" s="7"/>
      <c r="S444" s="7"/>
      <c r="T444" s="7"/>
      <c r="U444" s="7"/>
      <c r="V444" s="7"/>
      <c r="W444" s="7"/>
    </row>
    <row r="445" spans="1:23">
      <c r="A445" s="7"/>
      <c r="B445" s="8"/>
      <c r="C445" s="8"/>
      <c r="D445" s="7"/>
      <c r="E445" s="7"/>
      <c r="F445" s="7"/>
      <c r="G445" s="7"/>
      <c r="H445" s="143"/>
      <c r="I445" s="7"/>
      <c r="J445" s="7"/>
      <c r="K445" s="7"/>
      <c r="L445" s="7"/>
      <c r="M445" s="7"/>
      <c r="N445" s="7"/>
      <c r="O445" s="7"/>
      <c r="P445" s="7"/>
      <c r="Q445" s="7"/>
      <c r="R445" s="7"/>
      <c r="S445" s="7"/>
      <c r="T445" s="7"/>
      <c r="U445" s="7"/>
      <c r="V445" s="7"/>
      <c r="W445" s="7"/>
    </row>
    <row r="446" spans="1:23">
      <c r="A446" s="7"/>
      <c r="B446" s="8"/>
      <c r="C446" s="8"/>
      <c r="D446" s="7"/>
      <c r="E446" s="7"/>
      <c r="F446" s="7"/>
      <c r="G446" s="7"/>
      <c r="H446" s="143"/>
      <c r="I446" s="7"/>
      <c r="J446" s="7"/>
      <c r="K446" s="7"/>
      <c r="L446" s="7"/>
      <c r="M446" s="7"/>
      <c r="N446" s="7"/>
      <c r="O446" s="7"/>
      <c r="P446" s="7"/>
      <c r="Q446" s="7"/>
      <c r="R446" s="7"/>
      <c r="S446" s="7"/>
      <c r="T446" s="7"/>
      <c r="U446" s="7"/>
      <c r="V446" s="7"/>
      <c r="W446" s="7"/>
    </row>
    <row r="447" spans="1:23">
      <c r="A447" s="7"/>
      <c r="B447" s="8"/>
      <c r="C447" s="8"/>
      <c r="D447" s="7"/>
      <c r="E447" s="7"/>
      <c r="F447" s="7"/>
      <c r="G447" s="7"/>
      <c r="H447" s="143"/>
      <c r="I447" s="7"/>
      <c r="J447" s="7"/>
      <c r="K447" s="7"/>
      <c r="L447" s="7"/>
      <c r="M447" s="7"/>
      <c r="N447" s="7"/>
      <c r="O447" s="7"/>
      <c r="P447" s="7"/>
      <c r="Q447" s="7"/>
      <c r="R447" s="7"/>
      <c r="S447" s="7"/>
      <c r="T447" s="7"/>
      <c r="U447" s="7"/>
      <c r="V447" s="7"/>
      <c r="W447" s="7"/>
    </row>
    <row r="448" spans="1:23">
      <c r="A448" s="7"/>
      <c r="B448" s="8"/>
      <c r="C448" s="8"/>
      <c r="D448" s="7"/>
      <c r="E448" s="7"/>
      <c r="F448" s="7"/>
      <c r="G448" s="7"/>
      <c r="H448" s="143"/>
      <c r="I448" s="7"/>
      <c r="J448" s="7"/>
      <c r="K448" s="7"/>
      <c r="L448" s="7"/>
      <c r="M448" s="7"/>
      <c r="N448" s="7"/>
      <c r="O448" s="7"/>
      <c r="P448" s="7"/>
      <c r="Q448" s="7"/>
      <c r="R448" s="7"/>
      <c r="S448" s="7"/>
      <c r="T448" s="7"/>
      <c r="U448" s="7"/>
      <c r="V448" s="7"/>
      <c r="W448" s="7"/>
    </row>
    <row r="449" spans="1:23">
      <c r="A449" s="7"/>
      <c r="B449" s="8"/>
      <c r="C449" s="8"/>
      <c r="D449" s="7"/>
      <c r="E449" s="7"/>
      <c r="F449" s="7"/>
      <c r="G449" s="7"/>
      <c r="H449" s="143"/>
      <c r="I449" s="7"/>
      <c r="J449" s="7"/>
      <c r="K449" s="7"/>
      <c r="L449" s="7"/>
      <c r="M449" s="7"/>
      <c r="N449" s="7"/>
      <c r="O449" s="7"/>
      <c r="P449" s="7"/>
      <c r="Q449" s="7"/>
      <c r="R449" s="7"/>
      <c r="S449" s="7"/>
      <c r="T449" s="7"/>
      <c r="U449" s="7"/>
      <c r="V449" s="7"/>
      <c r="W449" s="7"/>
    </row>
    <row r="450" spans="1:23">
      <c r="A450" s="7"/>
      <c r="B450" s="8"/>
      <c r="C450" s="8"/>
      <c r="D450" s="7"/>
      <c r="E450" s="7"/>
      <c r="F450" s="7"/>
      <c r="G450" s="7"/>
      <c r="H450" s="143"/>
      <c r="I450" s="7"/>
      <c r="J450" s="7"/>
      <c r="K450" s="7"/>
      <c r="L450" s="7"/>
      <c r="M450" s="7"/>
      <c r="N450" s="7"/>
      <c r="O450" s="7"/>
      <c r="P450" s="7"/>
      <c r="Q450" s="7"/>
      <c r="R450" s="7"/>
      <c r="S450" s="7"/>
      <c r="T450" s="7"/>
      <c r="U450" s="7"/>
      <c r="V450" s="7"/>
      <c r="W450" s="7"/>
    </row>
    <row r="451" spans="1:23">
      <c r="A451" s="7"/>
      <c r="B451" s="8"/>
      <c r="C451" s="8"/>
      <c r="D451" s="7"/>
      <c r="E451" s="7"/>
      <c r="F451" s="7"/>
      <c r="G451" s="7"/>
      <c r="H451" s="143"/>
      <c r="I451" s="7"/>
      <c r="J451" s="7"/>
      <c r="K451" s="7"/>
      <c r="L451" s="7"/>
      <c r="M451" s="7"/>
      <c r="N451" s="7"/>
      <c r="O451" s="7"/>
      <c r="P451" s="7"/>
      <c r="Q451" s="7"/>
      <c r="R451" s="7"/>
      <c r="S451" s="7"/>
      <c r="T451" s="7"/>
      <c r="U451" s="7"/>
      <c r="V451" s="7"/>
      <c r="W451" s="7"/>
    </row>
    <row r="452" spans="1:23">
      <c r="A452" s="7"/>
      <c r="B452" s="8"/>
      <c r="C452" s="8"/>
      <c r="D452" s="7"/>
      <c r="E452" s="7"/>
      <c r="F452" s="7"/>
      <c r="G452" s="7"/>
      <c r="H452" s="143"/>
      <c r="I452" s="7"/>
      <c r="J452" s="7"/>
      <c r="K452" s="7"/>
      <c r="L452" s="7"/>
      <c r="M452" s="7"/>
      <c r="N452" s="7"/>
      <c r="O452" s="7"/>
      <c r="P452" s="7"/>
      <c r="Q452" s="7"/>
      <c r="R452" s="7"/>
      <c r="S452" s="7"/>
      <c r="T452" s="7"/>
      <c r="U452" s="7"/>
      <c r="V452" s="7"/>
      <c r="W452" s="7"/>
    </row>
    <row r="453" spans="1:23">
      <c r="A453" s="7"/>
      <c r="B453" s="8"/>
      <c r="C453" s="8"/>
      <c r="D453" s="7"/>
      <c r="E453" s="7"/>
      <c r="F453" s="7"/>
      <c r="G453" s="7"/>
      <c r="H453" s="143"/>
      <c r="I453" s="7"/>
      <c r="J453" s="7"/>
      <c r="K453" s="7"/>
      <c r="L453" s="7"/>
      <c r="M453" s="7"/>
      <c r="N453" s="7"/>
      <c r="O453" s="7"/>
      <c r="P453" s="7"/>
      <c r="Q453" s="7"/>
      <c r="R453" s="7"/>
      <c r="S453" s="7"/>
      <c r="T453" s="7"/>
      <c r="U453" s="7"/>
      <c r="V453" s="7"/>
      <c r="W453" s="7"/>
    </row>
    <row r="454" spans="1:23">
      <c r="A454" s="7"/>
      <c r="B454" s="8"/>
      <c r="C454" s="8"/>
      <c r="D454" s="7"/>
      <c r="E454" s="7"/>
      <c r="F454" s="7"/>
      <c r="G454" s="7"/>
      <c r="H454" s="143"/>
      <c r="I454" s="7"/>
      <c r="J454" s="7"/>
      <c r="K454" s="7"/>
      <c r="L454" s="7"/>
      <c r="M454" s="7"/>
      <c r="N454" s="7"/>
      <c r="O454" s="7"/>
      <c r="P454" s="7"/>
      <c r="Q454" s="7"/>
      <c r="R454" s="7"/>
      <c r="S454" s="7"/>
      <c r="T454" s="7"/>
      <c r="U454" s="7"/>
      <c r="V454" s="7"/>
      <c r="W454" s="7"/>
    </row>
    <row r="455" spans="1:23">
      <c r="A455" s="7"/>
      <c r="B455" s="8"/>
      <c r="C455" s="8"/>
      <c r="D455" s="7"/>
      <c r="E455" s="7"/>
      <c r="F455" s="7"/>
      <c r="G455" s="7"/>
      <c r="H455" s="143"/>
      <c r="I455" s="7"/>
      <c r="J455" s="7"/>
      <c r="K455" s="7"/>
      <c r="L455" s="7"/>
      <c r="M455" s="7"/>
      <c r="N455" s="7"/>
      <c r="O455" s="7"/>
      <c r="P455" s="7"/>
      <c r="Q455" s="7"/>
      <c r="R455" s="7"/>
      <c r="S455" s="7"/>
      <c r="T455" s="7"/>
      <c r="U455" s="7"/>
      <c r="V455" s="7"/>
      <c r="W455" s="7"/>
    </row>
    <row r="456" spans="1:23">
      <c r="A456" s="7"/>
      <c r="B456" s="8"/>
      <c r="C456" s="8"/>
      <c r="D456" s="7"/>
      <c r="E456" s="7"/>
      <c r="F456" s="7"/>
      <c r="G456" s="7"/>
      <c r="H456" s="143"/>
      <c r="I456" s="7"/>
      <c r="J456" s="7"/>
      <c r="K456" s="7"/>
      <c r="L456" s="7"/>
      <c r="M456" s="7"/>
      <c r="N456" s="7"/>
      <c r="O456" s="7"/>
      <c r="P456" s="7"/>
      <c r="Q456" s="7"/>
      <c r="R456" s="7"/>
      <c r="S456" s="7"/>
      <c r="T456" s="7"/>
      <c r="U456" s="7"/>
      <c r="V456" s="7"/>
      <c r="W456" s="7"/>
    </row>
    <row r="457" spans="1:23">
      <c r="A457" s="7"/>
      <c r="B457" s="8"/>
      <c r="C457" s="8"/>
      <c r="D457" s="7"/>
      <c r="E457" s="7"/>
      <c r="F457" s="7"/>
      <c r="G457" s="7"/>
      <c r="H457" s="143"/>
      <c r="I457" s="7"/>
      <c r="J457" s="7"/>
      <c r="K457" s="7"/>
      <c r="L457" s="7"/>
      <c r="M457" s="7"/>
      <c r="N457" s="7"/>
      <c r="O457" s="7"/>
      <c r="P457" s="7"/>
      <c r="Q457" s="7"/>
      <c r="R457" s="7"/>
      <c r="S457" s="7"/>
      <c r="T457" s="7"/>
      <c r="U457" s="7"/>
      <c r="V457" s="7"/>
      <c r="W457" s="7"/>
    </row>
    <row r="458" spans="1:23">
      <c r="A458" s="7"/>
      <c r="B458" s="8"/>
      <c r="C458" s="8"/>
      <c r="D458" s="7"/>
      <c r="E458" s="7"/>
      <c r="F458" s="7"/>
      <c r="G458" s="7"/>
      <c r="H458" s="143"/>
      <c r="I458" s="7"/>
      <c r="J458" s="7"/>
      <c r="K458" s="7"/>
      <c r="L458" s="7"/>
      <c r="M458" s="7"/>
      <c r="N458" s="7"/>
      <c r="O458" s="7"/>
      <c r="P458" s="7"/>
      <c r="Q458" s="7"/>
      <c r="R458" s="7"/>
      <c r="S458" s="7"/>
      <c r="T458" s="7"/>
      <c r="U458" s="7"/>
      <c r="V458" s="7"/>
      <c r="W458" s="7"/>
    </row>
    <row r="459" spans="1:23">
      <c r="A459" s="7"/>
      <c r="B459" s="8"/>
      <c r="C459" s="8"/>
      <c r="D459" s="7"/>
      <c r="E459" s="7"/>
      <c r="F459" s="7"/>
      <c r="G459" s="7"/>
      <c r="H459" s="143"/>
      <c r="I459" s="7"/>
      <c r="J459" s="7"/>
      <c r="K459" s="7"/>
      <c r="L459" s="7"/>
      <c r="M459" s="7"/>
      <c r="N459" s="7"/>
      <c r="O459" s="7"/>
      <c r="P459" s="7"/>
      <c r="Q459" s="7"/>
      <c r="R459" s="7"/>
      <c r="S459" s="7"/>
      <c r="T459" s="7"/>
      <c r="U459" s="7"/>
      <c r="V459" s="7"/>
      <c r="W459" s="7"/>
    </row>
    <row r="460" spans="1:23">
      <c r="A460" s="7"/>
      <c r="B460" s="8"/>
      <c r="C460" s="8"/>
      <c r="D460" s="7"/>
      <c r="E460" s="7"/>
      <c r="F460" s="7"/>
      <c r="G460" s="7"/>
      <c r="H460" s="143"/>
      <c r="I460" s="7"/>
      <c r="J460" s="7"/>
      <c r="K460" s="7"/>
      <c r="L460" s="7"/>
      <c r="M460" s="7"/>
      <c r="N460" s="7"/>
      <c r="O460" s="7"/>
      <c r="P460" s="7"/>
      <c r="Q460" s="7"/>
      <c r="R460" s="7"/>
      <c r="S460" s="7"/>
      <c r="T460" s="7"/>
      <c r="U460" s="7"/>
      <c r="V460" s="7"/>
      <c r="W460" s="7"/>
    </row>
    <row r="461" spans="1:23">
      <c r="A461" s="7"/>
      <c r="B461" s="8"/>
      <c r="C461" s="8"/>
      <c r="D461" s="7"/>
      <c r="E461" s="7"/>
      <c r="F461" s="7"/>
      <c r="G461" s="7"/>
      <c r="H461" s="143"/>
      <c r="I461" s="7"/>
      <c r="J461" s="7"/>
      <c r="K461" s="7"/>
      <c r="L461" s="7"/>
      <c r="M461" s="7"/>
      <c r="N461" s="7"/>
      <c r="O461" s="7"/>
      <c r="P461" s="7"/>
      <c r="Q461" s="7"/>
      <c r="R461" s="7"/>
      <c r="S461" s="7"/>
      <c r="T461" s="7"/>
      <c r="U461" s="7"/>
      <c r="V461" s="7"/>
      <c r="W461" s="7"/>
    </row>
    <row r="462" spans="1:23">
      <c r="A462" s="7"/>
      <c r="B462" s="8"/>
      <c r="C462" s="8"/>
      <c r="D462" s="7"/>
      <c r="E462" s="7"/>
      <c r="F462" s="7"/>
      <c r="G462" s="7"/>
      <c r="H462" s="143"/>
      <c r="I462" s="7"/>
      <c r="J462" s="7"/>
      <c r="K462" s="7"/>
      <c r="L462" s="7"/>
      <c r="M462" s="7"/>
      <c r="N462" s="7"/>
      <c r="O462" s="7"/>
      <c r="P462" s="7"/>
      <c r="Q462" s="7"/>
      <c r="R462" s="7"/>
      <c r="S462" s="7"/>
      <c r="T462" s="7"/>
      <c r="U462" s="7"/>
      <c r="V462" s="7"/>
      <c r="W462" s="7"/>
    </row>
    <row r="463" spans="1:23">
      <c r="A463" s="7"/>
      <c r="B463" s="8"/>
      <c r="C463" s="8"/>
      <c r="D463" s="7"/>
      <c r="E463" s="7"/>
      <c r="F463" s="7"/>
      <c r="G463" s="7"/>
      <c r="H463" s="143"/>
      <c r="I463" s="7"/>
      <c r="J463" s="7"/>
      <c r="K463" s="7"/>
      <c r="L463" s="7"/>
      <c r="M463" s="7"/>
      <c r="N463" s="7"/>
      <c r="O463" s="7"/>
      <c r="P463" s="7"/>
      <c r="Q463" s="7"/>
      <c r="R463" s="7"/>
      <c r="S463" s="7"/>
      <c r="T463" s="7"/>
      <c r="U463" s="7"/>
      <c r="V463" s="7"/>
      <c r="W463" s="7"/>
    </row>
    <row r="464" spans="1:23">
      <c r="A464" s="7"/>
      <c r="B464" s="8"/>
      <c r="C464" s="8"/>
      <c r="D464" s="7"/>
      <c r="E464" s="7"/>
      <c r="F464" s="7"/>
      <c r="G464" s="7"/>
      <c r="H464" s="143"/>
      <c r="I464" s="7"/>
      <c r="J464" s="7"/>
      <c r="K464" s="7"/>
      <c r="L464" s="7"/>
      <c r="M464" s="7"/>
      <c r="N464" s="7"/>
      <c r="O464" s="7"/>
      <c r="P464" s="7"/>
      <c r="Q464" s="7"/>
      <c r="R464" s="7"/>
      <c r="S464" s="7"/>
      <c r="T464" s="7"/>
      <c r="U464" s="7"/>
      <c r="V464" s="7"/>
      <c r="W464" s="7"/>
    </row>
    <row r="465" spans="1:23">
      <c r="A465" s="7"/>
      <c r="B465" s="8"/>
      <c r="C465" s="8"/>
      <c r="D465" s="7"/>
      <c r="E465" s="7"/>
      <c r="F465" s="7"/>
      <c r="G465" s="7"/>
      <c r="H465" s="143"/>
      <c r="I465" s="7"/>
      <c r="J465" s="7"/>
      <c r="K465" s="7"/>
      <c r="L465" s="7"/>
      <c r="M465" s="7"/>
      <c r="N465" s="7"/>
      <c r="O465" s="7"/>
      <c r="P465" s="7"/>
      <c r="Q465" s="7"/>
      <c r="R465" s="7"/>
      <c r="S465" s="7"/>
      <c r="T465" s="7"/>
      <c r="U465" s="7"/>
      <c r="V465" s="7"/>
      <c r="W465" s="7"/>
    </row>
    <row r="466" spans="1:23">
      <c r="A466" s="7"/>
      <c r="B466" s="8"/>
      <c r="C466" s="8"/>
      <c r="D466" s="7"/>
      <c r="E466" s="7"/>
      <c r="F466" s="7"/>
      <c r="G466" s="7"/>
      <c r="H466" s="143"/>
      <c r="I466" s="7"/>
      <c r="J466" s="7"/>
      <c r="K466" s="7"/>
      <c r="L466" s="7"/>
      <c r="M466" s="7"/>
      <c r="N466" s="7"/>
      <c r="O466" s="7"/>
      <c r="P466" s="7"/>
      <c r="Q466" s="7"/>
      <c r="R466" s="7"/>
      <c r="S466" s="7"/>
      <c r="T466" s="7"/>
      <c r="U466" s="7"/>
      <c r="V466" s="7"/>
      <c r="W466" s="7"/>
    </row>
    <row r="467" spans="1:23">
      <c r="A467" s="7"/>
      <c r="B467" s="8"/>
      <c r="C467" s="8"/>
      <c r="D467" s="7"/>
      <c r="E467" s="7"/>
      <c r="F467" s="7"/>
      <c r="G467" s="7"/>
      <c r="H467" s="143"/>
      <c r="I467" s="7"/>
      <c r="J467" s="7"/>
      <c r="K467" s="7"/>
      <c r="L467" s="7"/>
      <c r="M467" s="7"/>
      <c r="N467" s="7"/>
      <c r="O467" s="7"/>
      <c r="P467" s="7"/>
      <c r="Q467" s="7"/>
      <c r="R467" s="7"/>
      <c r="S467" s="7"/>
      <c r="T467" s="7"/>
      <c r="U467" s="7"/>
      <c r="V467" s="7"/>
      <c r="W467" s="7"/>
    </row>
    <row r="468" spans="1:23">
      <c r="A468" s="7"/>
      <c r="B468" s="8"/>
      <c r="C468" s="8"/>
      <c r="D468" s="7"/>
      <c r="E468" s="7"/>
      <c r="F468" s="7"/>
      <c r="G468" s="7"/>
      <c r="H468" s="143"/>
      <c r="I468" s="7"/>
      <c r="J468" s="7"/>
      <c r="K468" s="7"/>
      <c r="L468" s="7"/>
      <c r="M468" s="7"/>
      <c r="N468" s="7"/>
      <c r="O468" s="7"/>
      <c r="P468" s="7"/>
      <c r="Q468" s="7"/>
      <c r="R468" s="7"/>
      <c r="S468" s="7"/>
      <c r="T468" s="7"/>
      <c r="U468" s="7"/>
      <c r="V468" s="7"/>
      <c r="W468" s="7"/>
    </row>
    <row r="469" spans="1:23">
      <c r="A469" s="7"/>
      <c r="B469" s="8"/>
      <c r="C469" s="8"/>
      <c r="D469" s="7"/>
      <c r="E469" s="7"/>
      <c r="F469" s="7"/>
      <c r="G469" s="7"/>
      <c r="H469" s="143"/>
      <c r="I469" s="7"/>
      <c r="J469" s="7"/>
      <c r="K469" s="7"/>
      <c r="L469" s="7"/>
      <c r="M469" s="7"/>
      <c r="N469" s="7"/>
      <c r="O469" s="7"/>
      <c r="P469" s="7"/>
      <c r="Q469" s="7"/>
      <c r="R469" s="7"/>
      <c r="S469" s="7"/>
      <c r="T469" s="7"/>
      <c r="U469" s="7"/>
      <c r="V469" s="7"/>
      <c r="W469" s="7"/>
    </row>
    <row r="470" spans="1:23">
      <c r="A470" s="7"/>
      <c r="B470" s="8"/>
      <c r="C470" s="8"/>
      <c r="D470" s="7"/>
      <c r="E470" s="7"/>
      <c r="F470" s="7"/>
      <c r="G470" s="7"/>
      <c r="H470" s="143"/>
      <c r="I470" s="7"/>
      <c r="J470" s="7"/>
      <c r="K470" s="7"/>
      <c r="L470" s="7"/>
      <c r="M470" s="7"/>
      <c r="N470" s="7"/>
      <c r="O470" s="7"/>
      <c r="P470" s="7"/>
      <c r="Q470" s="7"/>
      <c r="R470" s="7"/>
      <c r="S470" s="7"/>
      <c r="T470" s="7"/>
      <c r="U470" s="7"/>
      <c r="V470" s="7"/>
      <c r="W470" s="7"/>
    </row>
    <row r="471" spans="1:23">
      <c r="A471" s="7"/>
      <c r="B471" s="8"/>
      <c r="C471" s="8"/>
      <c r="D471" s="7"/>
      <c r="E471" s="7"/>
      <c r="F471" s="7"/>
      <c r="G471" s="7"/>
      <c r="H471" s="143"/>
      <c r="I471" s="7"/>
      <c r="J471" s="7"/>
      <c r="K471" s="7"/>
      <c r="L471" s="7"/>
      <c r="M471" s="7"/>
      <c r="N471" s="7"/>
      <c r="O471" s="7"/>
      <c r="P471" s="7"/>
      <c r="Q471" s="7"/>
      <c r="R471" s="7"/>
      <c r="S471" s="7"/>
      <c r="T471" s="7"/>
      <c r="U471" s="7"/>
      <c r="V471" s="7"/>
      <c r="W471" s="7"/>
    </row>
    <row r="472" spans="1:23">
      <c r="A472" s="7"/>
      <c r="B472" s="8"/>
      <c r="C472" s="8"/>
      <c r="D472" s="7"/>
      <c r="E472" s="7"/>
      <c r="F472" s="7"/>
      <c r="G472" s="7"/>
      <c r="H472" s="143"/>
      <c r="I472" s="7"/>
      <c r="J472" s="7"/>
      <c r="K472" s="7"/>
      <c r="L472" s="7"/>
      <c r="M472" s="7"/>
      <c r="N472" s="7"/>
      <c r="O472" s="7"/>
      <c r="P472" s="7"/>
      <c r="Q472" s="7"/>
      <c r="R472" s="7"/>
      <c r="S472" s="7"/>
      <c r="T472" s="7"/>
      <c r="U472" s="7"/>
      <c r="V472" s="7"/>
      <c r="W472" s="7"/>
    </row>
    <row r="473" spans="1:23">
      <c r="A473" s="7"/>
      <c r="B473" s="8"/>
      <c r="C473" s="8"/>
      <c r="D473" s="7"/>
      <c r="E473" s="7"/>
      <c r="F473" s="7"/>
      <c r="G473" s="7"/>
      <c r="H473" s="143"/>
      <c r="I473" s="7"/>
      <c r="J473" s="7"/>
      <c r="K473" s="7"/>
      <c r="L473" s="7"/>
      <c r="M473" s="7"/>
      <c r="N473" s="7"/>
      <c r="O473" s="7"/>
      <c r="P473" s="7"/>
      <c r="Q473" s="7"/>
      <c r="R473" s="7"/>
      <c r="S473" s="7"/>
      <c r="T473" s="7"/>
      <c r="U473" s="7"/>
      <c r="V473" s="7"/>
      <c r="W473" s="7"/>
    </row>
    <row r="474" spans="1:23">
      <c r="A474" s="7"/>
      <c r="B474" s="8"/>
      <c r="C474" s="8"/>
      <c r="D474" s="7"/>
      <c r="E474" s="7"/>
      <c r="F474" s="7"/>
      <c r="G474" s="7"/>
      <c r="H474" s="143"/>
      <c r="I474" s="7"/>
      <c r="J474" s="7"/>
      <c r="K474" s="7"/>
      <c r="L474" s="7"/>
      <c r="M474" s="7"/>
      <c r="N474" s="7"/>
      <c r="O474" s="7"/>
      <c r="P474" s="7"/>
      <c r="Q474" s="7"/>
      <c r="R474" s="7"/>
      <c r="S474" s="7"/>
      <c r="T474" s="7"/>
      <c r="U474" s="7"/>
      <c r="V474" s="7"/>
      <c r="W474" s="7"/>
    </row>
    <row r="475" spans="1:23">
      <c r="A475" s="7"/>
      <c r="B475" s="8"/>
      <c r="C475" s="8"/>
      <c r="D475" s="7"/>
      <c r="E475" s="7"/>
      <c r="F475" s="7"/>
      <c r="G475" s="7"/>
      <c r="H475" s="143"/>
      <c r="I475" s="7"/>
      <c r="J475" s="7"/>
      <c r="K475" s="7"/>
      <c r="L475" s="7"/>
      <c r="M475" s="7"/>
      <c r="N475" s="7"/>
      <c r="O475" s="7"/>
      <c r="P475" s="7"/>
      <c r="Q475" s="7"/>
      <c r="R475" s="7"/>
      <c r="S475" s="7"/>
      <c r="T475" s="7"/>
      <c r="U475" s="7"/>
      <c r="V475" s="7"/>
      <c r="W475" s="7"/>
    </row>
    <row r="476" spans="1:23">
      <c r="A476" s="7"/>
      <c r="B476" s="8"/>
      <c r="C476" s="8"/>
      <c r="D476" s="7"/>
      <c r="E476" s="7"/>
      <c r="F476" s="7"/>
      <c r="G476" s="7"/>
      <c r="H476" s="143"/>
      <c r="I476" s="7"/>
      <c r="J476" s="7"/>
      <c r="K476" s="7"/>
      <c r="L476" s="7"/>
      <c r="M476" s="7"/>
      <c r="N476" s="7"/>
      <c r="O476" s="7"/>
      <c r="P476" s="7"/>
      <c r="Q476" s="7"/>
      <c r="R476" s="7"/>
      <c r="S476" s="7"/>
      <c r="T476" s="7"/>
      <c r="U476" s="7"/>
      <c r="V476" s="7"/>
      <c r="W476" s="7"/>
    </row>
    <row r="477" spans="1:23">
      <c r="A477" s="7"/>
      <c r="B477" s="8"/>
      <c r="C477" s="8"/>
      <c r="D477" s="7"/>
      <c r="E477" s="7"/>
      <c r="F477" s="7"/>
      <c r="G477" s="7"/>
      <c r="H477" s="143"/>
      <c r="I477" s="7"/>
      <c r="J477" s="7"/>
      <c r="K477" s="7"/>
      <c r="L477" s="7"/>
      <c r="M477" s="7"/>
      <c r="N477" s="7"/>
      <c r="O477" s="7"/>
      <c r="P477" s="7"/>
      <c r="Q477" s="7"/>
      <c r="R477" s="7"/>
      <c r="S477" s="7"/>
      <c r="T477" s="7"/>
      <c r="U477" s="7"/>
      <c r="V477" s="7"/>
      <c r="W477" s="7"/>
    </row>
    <row r="478" spans="1:23">
      <c r="A478" s="7"/>
      <c r="B478" s="8"/>
      <c r="C478" s="8"/>
      <c r="D478" s="7"/>
      <c r="E478" s="7"/>
      <c r="F478" s="7"/>
      <c r="G478" s="7"/>
      <c r="H478" s="143"/>
      <c r="I478" s="7"/>
      <c r="J478" s="7"/>
      <c r="K478" s="7"/>
      <c r="L478" s="7"/>
      <c r="M478" s="7"/>
      <c r="N478" s="7"/>
      <c r="O478" s="7"/>
      <c r="P478" s="7"/>
      <c r="Q478" s="7"/>
      <c r="R478" s="7"/>
      <c r="S478" s="7"/>
      <c r="T478" s="7"/>
      <c r="U478" s="7"/>
      <c r="V478" s="7"/>
      <c r="W478" s="7"/>
    </row>
    <row r="479" spans="1:23">
      <c r="A479" s="7"/>
      <c r="B479" s="8"/>
      <c r="C479" s="8"/>
      <c r="D479" s="7"/>
      <c r="E479" s="7"/>
      <c r="F479" s="7"/>
      <c r="G479" s="7"/>
      <c r="H479" s="143"/>
      <c r="I479" s="7"/>
      <c r="J479" s="7"/>
      <c r="K479" s="7"/>
      <c r="L479" s="7"/>
      <c r="M479" s="7"/>
      <c r="N479" s="7"/>
      <c r="O479" s="7"/>
      <c r="P479" s="7"/>
      <c r="Q479" s="7"/>
      <c r="R479" s="7"/>
      <c r="S479" s="7"/>
      <c r="T479" s="7"/>
      <c r="U479" s="7"/>
      <c r="V479" s="7"/>
      <c r="W479" s="7"/>
    </row>
    <row r="480" spans="1:23">
      <c r="A480" s="7"/>
      <c r="B480" s="8"/>
      <c r="C480" s="8"/>
      <c r="D480" s="7"/>
      <c r="E480" s="7"/>
      <c r="F480" s="7"/>
      <c r="G480" s="7"/>
      <c r="H480" s="143"/>
      <c r="I480" s="7"/>
      <c r="J480" s="7"/>
      <c r="K480" s="7"/>
      <c r="L480" s="7"/>
      <c r="M480" s="7"/>
      <c r="N480" s="7"/>
      <c r="O480" s="7"/>
      <c r="P480" s="7"/>
      <c r="Q480" s="7"/>
      <c r="R480" s="7"/>
      <c r="S480" s="7"/>
      <c r="T480" s="7"/>
      <c r="U480" s="7"/>
      <c r="V480" s="7"/>
      <c r="W480" s="7"/>
    </row>
    <row r="481" spans="1:23">
      <c r="A481" s="7"/>
      <c r="B481" s="8"/>
      <c r="C481" s="8"/>
      <c r="D481" s="7"/>
      <c r="E481" s="7"/>
      <c r="F481" s="7"/>
      <c r="G481" s="7"/>
      <c r="H481" s="143"/>
      <c r="I481" s="7"/>
      <c r="J481" s="7"/>
      <c r="K481" s="7"/>
      <c r="L481" s="7"/>
      <c r="M481" s="7"/>
      <c r="N481" s="7"/>
      <c r="O481" s="7"/>
      <c r="P481" s="7"/>
      <c r="Q481" s="7"/>
      <c r="R481" s="7"/>
      <c r="S481" s="7"/>
      <c r="T481" s="7"/>
      <c r="U481" s="7"/>
      <c r="V481" s="7"/>
      <c r="W481" s="7"/>
    </row>
    <row r="482" spans="1:23">
      <c r="A482" s="7"/>
      <c r="B482" s="8"/>
      <c r="C482" s="8"/>
      <c r="D482" s="7"/>
      <c r="E482" s="7"/>
      <c r="F482" s="7"/>
      <c r="G482" s="7"/>
      <c r="H482" s="143"/>
      <c r="I482" s="7"/>
      <c r="J482" s="7"/>
      <c r="K482" s="7"/>
      <c r="L482" s="7"/>
      <c r="M482" s="7"/>
      <c r="N482" s="7"/>
      <c r="O482" s="7"/>
      <c r="P482" s="7"/>
      <c r="Q482" s="7"/>
      <c r="R482" s="7"/>
      <c r="S482" s="7"/>
      <c r="T482" s="7"/>
      <c r="U482" s="7"/>
      <c r="V482" s="7"/>
      <c r="W482" s="7"/>
    </row>
    <row r="483" spans="1:23">
      <c r="A483" s="7"/>
      <c r="B483" s="8"/>
      <c r="C483" s="8"/>
      <c r="D483" s="7"/>
      <c r="E483" s="7"/>
      <c r="F483" s="7"/>
      <c r="G483" s="7"/>
      <c r="H483" s="143"/>
      <c r="I483" s="7"/>
      <c r="J483" s="7"/>
      <c r="K483" s="7"/>
      <c r="L483" s="7"/>
      <c r="M483" s="7"/>
      <c r="N483" s="7"/>
      <c r="O483" s="7"/>
      <c r="P483" s="7"/>
      <c r="Q483" s="7"/>
      <c r="R483" s="7"/>
      <c r="S483" s="7"/>
      <c r="T483" s="7"/>
      <c r="U483" s="7"/>
      <c r="V483" s="7"/>
      <c r="W483" s="7"/>
    </row>
    <row r="484" spans="1:23">
      <c r="A484" s="7"/>
      <c r="B484" s="8"/>
      <c r="C484" s="8"/>
      <c r="D484" s="7"/>
      <c r="E484" s="7"/>
      <c r="F484" s="7"/>
      <c r="G484" s="7"/>
      <c r="H484" s="143"/>
      <c r="I484" s="7"/>
      <c r="J484" s="7"/>
      <c r="K484" s="7"/>
      <c r="L484" s="7"/>
      <c r="M484" s="7"/>
      <c r="N484" s="7"/>
      <c r="O484" s="7"/>
      <c r="P484" s="7"/>
      <c r="Q484" s="7"/>
      <c r="R484" s="7"/>
      <c r="S484" s="7"/>
      <c r="T484" s="7"/>
      <c r="U484" s="7"/>
      <c r="V484" s="7"/>
      <c r="W484" s="7"/>
    </row>
    <row r="485" spans="1:23">
      <c r="A485" s="7"/>
      <c r="B485" s="8"/>
      <c r="C485" s="8"/>
      <c r="D485" s="7"/>
      <c r="E485" s="7"/>
      <c r="F485" s="7"/>
      <c r="G485" s="7"/>
      <c r="H485" s="143"/>
      <c r="I485" s="7"/>
      <c r="J485" s="7"/>
      <c r="K485" s="7"/>
      <c r="L485" s="7"/>
      <c r="M485" s="7"/>
      <c r="N485" s="7"/>
      <c r="O485" s="7"/>
      <c r="P485" s="7"/>
      <c r="Q485" s="7"/>
      <c r="R485" s="7"/>
      <c r="S485" s="7"/>
      <c r="T485" s="7"/>
      <c r="U485" s="7"/>
      <c r="V485" s="7"/>
      <c r="W485" s="7"/>
    </row>
    <row r="486" spans="1:23">
      <c r="A486" s="7"/>
      <c r="B486" s="8"/>
      <c r="C486" s="8"/>
      <c r="D486" s="7"/>
      <c r="E486" s="7"/>
      <c r="F486" s="7"/>
      <c r="G486" s="7"/>
      <c r="H486" s="143"/>
      <c r="I486" s="7"/>
      <c r="J486" s="7"/>
      <c r="K486" s="7"/>
      <c r="L486" s="7"/>
      <c r="M486" s="7"/>
      <c r="N486" s="7"/>
      <c r="O486" s="7"/>
      <c r="P486" s="7"/>
      <c r="Q486" s="7"/>
      <c r="R486" s="7"/>
      <c r="S486" s="7"/>
      <c r="T486" s="7"/>
      <c r="U486" s="7"/>
      <c r="V486" s="7"/>
      <c r="W486" s="7"/>
    </row>
    <row r="487" spans="1:23">
      <c r="A487" s="7"/>
      <c r="B487" s="8"/>
      <c r="C487" s="8"/>
      <c r="D487" s="7"/>
      <c r="E487" s="7"/>
      <c r="F487" s="7"/>
      <c r="G487" s="7"/>
      <c r="H487" s="143"/>
      <c r="I487" s="7"/>
      <c r="J487" s="7"/>
      <c r="K487" s="7"/>
      <c r="L487" s="7"/>
      <c r="M487" s="7"/>
      <c r="N487" s="7"/>
      <c r="O487" s="7"/>
      <c r="P487" s="7"/>
      <c r="Q487" s="7"/>
      <c r="R487" s="7"/>
      <c r="S487" s="7"/>
      <c r="T487" s="7"/>
      <c r="U487" s="7"/>
      <c r="V487" s="7"/>
      <c r="W487" s="7"/>
    </row>
    <row r="488" spans="1:23">
      <c r="A488" s="7"/>
      <c r="B488" s="8"/>
      <c r="C488" s="8"/>
      <c r="D488" s="7"/>
      <c r="E488" s="7"/>
      <c r="F488" s="7"/>
      <c r="G488" s="7"/>
      <c r="H488" s="143"/>
      <c r="I488" s="7"/>
      <c r="J488" s="7"/>
      <c r="K488" s="7"/>
      <c r="L488" s="7"/>
      <c r="M488" s="7"/>
      <c r="N488" s="7"/>
      <c r="O488" s="7"/>
      <c r="P488" s="7"/>
      <c r="Q488" s="7"/>
      <c r="R488" s="7"/>
      <c r="S488" s="7"/>
      <c r="T488" s="7"/>
      <c r="U488" s="7"/>
      <c r="V488" s="7"/>
      <c r="W488" s="7"/>
    </row>
    <row r="489" spans="1:23">
      <c r="A489" s="7"/>
      <c r="B489" s="8"/>
      <c r="C489" s="8"/>
      <c r="D489" s="7"/>
      <c r="E489" s="7"/>
      <c r="F489" s="7"/>
      <c r="G489" s="7"/>
      <c r="H489" s="143"/>
      <c r="I489" s="7"/>
      <c r="J489" s="7"/>
      <c r="K489" s="7"/>
      <c r="L489" s="7"/>
      <c r="M489" s="7"/>
      <c r="N489" s="7"/>
      <c r="O489" s="7"/>
      <c r="P489" s="7"/>
      <c r="Q489" s="7"/>
      <c r="R489" s="7"/>
      <c r="S489" s="7"/>
      <c r="T489" s="7"/>
      <c r="U489" s="7"/>
      <c r="V489" s="7"/>
      <c r="W489" s="7"/>
    </row>
    <row r="490" spans="1:23">
      <c r="A490" s="7"/>
      <c r="B490" s="8"/>
      <c r="C490" s="8"/>
      <c r="D490" s="7"/>
      <c r="E490" s="7"/>
      <c r="F490" s="7"/>
      <c r="G490" s="7"/>
      <c r="H490" s="143"/>
      <c r="I490" s="7"/>
      <c r="J490" s="7"/>
      <c r="K490" s="7"/>
      <c r="L490" s="7"/>
      <c r="M490" s="7"/>
      <c r="N490" s="7"/>
      <c r="O490" s="7"/>
      <c r="P490" s="7"/>
      <c r="Q490" s="7"/>
      <c r="R490" s="7"/>
      <c r="S490" s="7"/>
      <c r="T490" s="7"/>
      <c r="U490" s="7"/>
      <c r="V490" s="7"/>
      <c r="W490" s="7"/>
    </row>
    <row r="491" spans="1:23">
      <c r="A491" s="7"/>
      <c r="B491" s="8"/>
      <c r="C491" s="8"/>
      <c r="D491" s="7"/>
      <c r="E491" s="7"/>
      <c r="F491" s="7"/>
      <c r="G491" s="7"/>
      <c r="H491" s="143"/>
      <c r="I491" s="7"/>
      <c r="J491" s="7"/>
      <c r="K491" s="7"/>
      <c r="L491" s="7"/>
      <c r="M491" s="7"/>
      <c r="N491" s="7"/>
      <c r="O491" s="7"/>
      <c r="P491" s="7"/>
      <c r="Q491" s="7"/>
      <c r="R491" s="7"/>
      <c r="S491" s="7"/>
      <c r="T491" s="7"/>
      <c r="U491" s="7"/>
      <c r="V491" s="7"/>
      <c r="W491" s="7"/>
    </row>
    <row r="492" spans="1:23">
      <c r="A492" s="7"/>
      <c r="B492" s="8"/>
      <c r="C492" s="8"/>
      <c r="D492" s="7"/>
      <c r="E492" s="7"/>
      <c r="F492" s="7"/>
      <c r="G492" s="7"/>
      <c r="H492" s="143"/>
      <c r="I492" s="7"/>
      <c r="J492" s="7"/>
      <c r="K492" s="7"/>
      <c r="L492" s="7"/>
      <c r="M492" s="7"/>
      <c r="N492" s="7"/>
      <c r="O492" s="7"/>
      <c r="P492" s="7"/>
      <c r="Q492" s="7"/>
      <c r="R492" s="7"/>
      <c r="S492" s="7"/>
      <c r="T492" s="7"/>
      <c r="U492" s="7"/>
      <c r="V492" s="7"/>
      <c r="W492" s="7"/>
    </row>
    <row r="493" spans="1:23">
      <c r="A493" s="7"/>
      <c r="B493" s="8"/>
      <c r="C493" s="8"/>
      <c r="D493" s="7"/>
      <c r="E493" s="7"/>
      <c r="F493" s="7"/>
      <c r="G493" s="7"/>
      <c r="H493" s="143"/>
      <c r="I493" s="7"/>
      <c r="J493" s="7"/>
      <c r="K493" s="7"/>
      <c r="L493" s="7"/>
      <c r="M493" s="7"/>
      <c r="N493" s="7"/>
      <c r="O493" s="7"/>
      <c r="P493" s="7"/>
      <c r="Q493" s="7"/>
      <c r="R493" s="7"/>
      <c r="S493" s="7"/>
      <c r="T493" s="7"/>
      <c r="U493" s="7"/>
      <c r="V493" s="7"/>
      <c r="W493" s="7"/>
    </row>
    <row r="494" spans="1:23">
      <c r="A494" s="7"/>
      <c r="B494" s="8"/>
      <c r="C494" s="8"/>
      <c r="D494" s="7"/>
      <c r="E494" s="7"/>
      <c r="F494" s="7"/>
      <c r="G494" s="7"/>
      <c r="H494" s="143"/>
      <c r="I494" s="7"/>
      <c r="J494" s="7"/>
      <c r="K494" s="7"/>
      <c r="L494" s="7"/>
      <c r="M494" s="7"/>
      <c r="N494" s="7"/>
      <c r="O494" s="7"/>
      <c r="P494" s="7"/>
      <c r="Q494" s="7"/>
      <c r="R494" s="7"/>
      <c r="S494" s="7"/>
      <c r="T494" s="7"/>
      <c r="U494" s="7"/>
      <c r="V494" s="7"/>
      <c r="W494" s="7"/>
    </row>
    <row r="495" spans="1:23">
      <c r="A495" s="7"/>
      <c r="B495" s="8"/>
      <c r="C495" s="8"/>
      <c r="D495" s="7"/>
      <c r="E495" s="7"/>
      <c r="F495" s="7"/>
      <c r="G495" s="7"/>
      <c r="H495" s="143"/>
      <c r="I495" s="7"/>
      <c r="J495" s="7"/>
      <c r="K495" s="7"/>
      <c r="L495" s="7"/>
      <c r="M495" s="7"/>
      <c r="N495" s="7"/>
      <c r="O495" s="7"/>
      <c r="P495" s="7"/>
      <c r="Q495" s="7"/>
      <c r="R495" s="7"/>
      <c r="S495" s="7"/>
      <c r="T495" s="7"/>
      <c r="U495" s="7"/>
      <c r="V495" s="7"/>
      <c r="W495" s="7"/>
    </row>
    <row r="496" spans="1:23">
      <c r="A496" s="7"/>
      <c r="B496" s="8"/>
      <c r="C496" s="8"/>
      <c r="D496" s="7"/>
      <c r="E496" s="7"/>
      <c r="F496" s="7"/>
      <c r="G496" s="7"/>
      <c r="H496" s="143"/>
      <c r="I496" s="7"/>
      <c r="J496" s="7"/>
      <c r="K496" s="7"/>
      <c r="L496" s="7"/>
      <c r="M496" s="7"/>
      <c r="N496" s="7"/>
      <c r="O496" s="7"/>
      <c r="P496" s="7"/>
      <c r="Q496" s="7"/>
      <c r="R496" s="7"/>
      <c r="S496" s="7"/>
      <c r="T496" s="7"/>
      <c r="U496" s="7"/>
      <c r="V496" s="7"/>
      <c r="W496" s="7"/>
    </row>
    <row r="497" spans="1:23">
      <c r="A497" s="7"/>
      <c r="B497" s="8"/>
      <c r="C497" s="8"/>
      <c r="D497" s="7"/>
      <c r="E497" s="7"/>
      <c r="F497" s="7"/>
      <c r="G497" s="7"/>
      <c r="H497" s="143"/>
      <c r="I497" s="7"/>
      <c r="J497" s="7"/>
      <c r="K497" s="7"/>
      <c r="L497" s="7"/>
      <c r="M497" s="7"/>
      <c r="N497" s="7"/>
      <c r="O497" s="7"/>
      <c r="P497" s="7"/>
      <c r="Q497" s="7"/>
      <c r="R497" s="7"/>
      <c r="S497" s="7"/>
      <c r="T497" s="7"/>
      <c r="U497" s="7"/>
      <c r="V497" s="7"/>
      <c r="W497" s="7"/>
    </row>
    <row r="498" spans="1:23">
      <c r="A498" s="7"/>
      <c r="B498" s="8"/>
      <c r="C498" s="8"/>
      <c r="D498" s="7"/>
      <c r="E498" s="7"/>
      <c r="F498" s="7"/>
      <c r="G498" s="7"/>
      <c r="H498" s="143"/>
      <c r="I498" s="7"/>
      <c r="J498" s="7"/>
      <c r="K498" s="7"/>
      <c r="L498" s="7"/>
      <c r="M498" s="7"/>
      <c r="N498" s="7"/>
      <c r="O498" s="7"/>
      <c r="P498" s="7"/>
      <c r="Q498" s="7"/>
      <c r="R498" s="7"/>
      <c r="S498" s="7"/>
      <c r="T498" s="7"/>
      <c r="U498" s="7"/>
      <c r="V498" s="7"/>
      <c r="W498" s="7"/>
    </row>
    <row r="499" spans="1:23">
      <c r="A499" s="7"/>
      <c r="B499" s="8"/>
      <c r="C499" s="8"/>
      <c r="D499" s="7"/>
      <c r="E499" s="7"/>
      <c r="F499" s="7"/>
      <c r="G499" s="7"/>
      <c r="H499" s="143"/>
      <c r="I499" s="7"/>
      <c r="J499" s="7"/>
      <c r="K499" s="7"/>
      <c r="L499" s="7"/>
      <c r="M499" s="7"/>
      <c r="N499" s="7"/>
      <c r="O499" s="7"/>
      <c r="P499" s="7"/>
      <c r="Q499" s="7"/>
      <c r="R499" s="7"/>
      <c r="S499" s="7"/>
      <c r="T499" s="7"/>
      <c r="U499" s="7"/>
      <c r="V499" s="7"/>
      <c r="W499" s="7"/>
    </row>
    <row r="500" spans="1:23">
      <c r="A500" s="7"/>
      <c r="B500" s="8"/>
      <c r="C500" s="8"/>
      <c r="D500" s="7"/>
      <c r="E500" s="7"/>
      <c r="F500" s="7"/>
      <c r="G500" s="7"/>
      <c r="H500" s="143"/>
      <c r="I500" s="7"/>
      <c r="J500" s="7"/>
      <c r="K500" s="7"/>
      <c r="L500" s="7"/>
      <c r="M500" s="7"/>
      <c r="N500" s="7"/>
      <c r="O500" s="7"/>
      <c r="P500" s="7"/>
      <c r="Q500" s="7"/>
      <c r="R500" s="7"/>
      <c r="S500" s="7"/>
      <c r="T500" s="7"/>
      <c r="U500" s="7"/>
      <c r="V500" s="7"/>
      <c r="W500" s="7"/>
    </row>
    <row r="501" spans="1:23">
      <c r="A501" s="7"/>
      <c r="B501" s="8"/>
      <c r="C501" s="8"/>
      <c r="D501" s="7"/>
      <c r="E501" s="7"/>
      <c r="F501" s="7"/>
      <c r="G501" s="7"/>
      <c r="H501" s="143"/>
      <c r="I501" s="7"/>
      <c r="J501" s="7"/>
      <c r="K501" s="7"/>
      <c r="L501" s="7"/>
      <c r="M501" s="7"/>
      <c r="N501" s="7"/>
      <c r="O501" s="7"/>
      <c r="P501" s="7"/>
      <c r="Q501" s="7"/>
      <c r="R501" s="7"/>
      <c r="S501" s="7"/>
      <c r="T501" s="7"/>
      <c r="U501" s="7"/>
      <c r="V501" s="7"/>
      <c r="W501" s="7"/>
    </row>
    <row r="502" spans="1:23">
      <c r="A502" s="7"/>
      <c r="B502" s="8"/>
      <c r="C502" s="8"/>
      <c r="D502" s="7"/>
      <c r="E502" s="7"/>
      <c r="F502" s="7"/>
      <c r="G502" s="7"/>
      <c r="H502" s="143"/>
      <c r="I502" s="7"/>
      <c r="J502" s="7"/>
      <c r="K502" s="7"/>
      <c r="L502" s="7"/>
      <c r="M502" s="7"/>
      <c r="N502" s="7"/>
      <c r="O502" s="7"/>
      <c r="P502" s="7"/>
      <c r="Q502" s="7"/>
      <c r="R502" s="7"/>
      <c r="S502" s="7"/>
      <c r="T502" s="7"/>
      <c r="U502" s="7"/>
      <c r="V502" s="7"/>
      <c r="W502" s="7"/>
    </row>
    <row r="503" spans="1:23">
      <c r="A503" s="7"/>
      <c r="B503" s="8"/>
      <c r="C503" s="8"/>
      <c r="D503" s="7"/>
      <c r="E503" s="7"/>
      <c r="F503" s="7"/>
      <c r="G503" s="7"/>
      <c r="H503" s="143"/>
      <c r="I503" s="7"/>
      <c r="J503" s="7"/>
      <c r="K503" s="7"/>
      <c r="L503" s="7"/>
      <c r="M503" s="7"/>
      <c r="N503" s="7"/>
      <c r="O503" s="7"/>
      <c r="P503" s="7"/>
      <c r="Q503" s="7"/>
      <c r="R503" s="7"/>
      <c r="S503" s="7"/>
      <c r="T503" s="7"/>
      <c r="U503" s="7"/>
      <c r="V503" s="7"/>
      <c r="W503" s="7"/>
    </row>
    <row r="504" spans="1:23">
      <c r="A504" s="7"/>
      <c r="B504" s="8"/>
      <c r="C504" s="8"/>
      <c r="D504" s="7"/>
      <c r="E504" s="7"/>
      <c r="F504" s="7"/>
      <c r="G504" s="7"/>
      <c r="H504" s="143"/>
      <c r="I504" s="7"/>
      <c r="J504" s="7"/>
      <c r="K504" s="7"/>
      <c r="L504" s="7"/>
      <c r="M504" s="7"/>
      <c r="N504" s="7"/>
      <c r="O504" s="7"/>
      <c r="P504" s="7"/>
      <c r="Q504" s="7"/>
      <c r="R504" s="7"/>
      <c r="S504" s="7"/>
      <c r="T504" s="7"/>
      <c r="U504" s="7"/>
      <c r="V504" s="7"/>
      <c r="W504" s="7"/>
    </row>
    <row r="505" spans="1:23">
      <c r="A505" s="7"/>
      <c r="B505" s="8"/>
      <c r="C505" s="8"/>
      <c r="D505" s="7"/>
      <c r="E505" s="7"/>
      <c r="F505" s="7"/>
      <c r="G505" s="7"/>
      <c r="H505" s="143"/>
      <c r="I505" s="7"/>
      <c r="J505" s="7"/>
      <c r="K505" s="7"/>
      <c r="L505" s="7"/>
      <c r="M505" s="7"/>
      <c r="N505" s="7"/>
      <c r="O505" s="7"/>
      <c r="P505" s="7"/>
      <c r="Q505" s="7"/>
      <c r="R505" s="7"/>
      <c r="S505" s="7"/>
      <c r="T505" s="7"/>
      <c r="U505" s="7"/>
      <c r="V505" s="7"/>
      <c r="W505" s="7"/>
    </row>
    <row r="506" spans="1:23">
      <c r="A506" s="7"/>
      <c r="B506" s="8"/>
      <c r="C506" s="8"/>
      <c r="D506" s="7"/>
      <c r="E506" s="7"/>
      <c r="F506" s="7"/>
      <c r="G506" s="7"/>
      <c r="H506" s="143"/>
      <c r="I506" s="7"/>
      <c r="J506" s="7"/>
      <c r="K506" s="7"/>
      <c r="L506" s="7"/>
      <c r="M506" s="7"/>
      <c r="N506" s="7"/>
      <c r="O506" s="7"/>
      <c r="P506" s="7"/>
      <c r="Q506" s="7"/>
      <c r="R506" s="7"/>
      <c r="S506" s="7"/>
      <c r="T506" s="7"/>
      <c r="U506" s="7"/>
      <c r="V506" s="7"/>
      <c r="W506" s="7"/>
    </row>
    <row r="507" spans="1:23">
      <c r="A507" s="7"/>
      <c r="B507" s="8"/>
      <c r="C507" s="8"/>
      <c r="D507" s="7"/>
      <c r="E507" s="7"/>
      <c r="F507" s="7"/>
      <c r="G507" s="7"/>
      <c r="H507" s="143"/>
      <c r="I507" s="7"/>
      <c r="J507" s="7"/>
      <c r="K507" s="7"/>
      <c r="L507" s="7"/>
      <c r="M507" s="7"/>
      <c r="N507" s="7"/>
      <c r="O507" s="7"/>
      <c r="P507" s="7"/>
      <c r="Q507" s="7"/>
      <c r="R507" s="7"/>
      <c r="S507" s="7"/>
      <c r="T507" s="7"/>
      <c r="U507" s="7"/>
      <c r="V507" s="7"/>
      <c r="W507" s="7"/>
    </row>
    <row r="508" spans="1:23">
      <c r="A508" s="7"/>
      <c r="B508" s="8"/>
      <c r="C508" s="8"/>
      <c r="D508" s="7"/>
      <c r="E508" s="7"/>
      <c r="F508" s="7"/>
      <c r="G508" s="7"/>
      <c r="H508" s="143"/>
      <c r="I508" s="7"/>
      <c r="J508" s="7"/>
      <c r="K508" s="7"/>
      <c r="L508" s="7"/>
      <c r="M508" s="7"/>
      <c r="N508" s="7"/>
      <c r="O508" s="7"/>
      <c r="P508" s="7"/>
      <c r="Q508" s="7"/>
      <c r="R508" s="7"/>
      <c r="S508" s="7"/>
      <c r="T508" s="7"/>
      <c r="U508" s="7"/>
      <c r="V508" s="7"/>
      <c r="W508" s="7"/>
    </row>
    <row r="509" spans="1:23">
      <c r="A509" s="7"/>
      <c r="B509" s="8"/>
      <c r="C509" s="8"/>
      <c r="D509" s="7"/>
      <c r="E509" s="7"/>
      <c r="F509" s="7"/>
      <c r="G509" s="7"/>
      <c r="H509" s="143"/>
      <c r="I509" s="7"/>
      <c r="J509" s="7"/>
      <c r="K509" s="7"/>
      <c r="L509" s="7"/>
      <c r="M509" s="7"/>
      <c r="N509" s="7"/>
      <c r="O509" s="7"/>
      <c r="P509" s="7"/>
      <c r="Q509" s="7"/>
      <c r="R509" s="7"/>
      <c r="S509" s="7"/>
      <c r="T509" s="7"/>
      <c r="U509" s="7"/>
      <c r="V509" s="7"/>
      <c r="W509" s="7"/>
    </row>
    <row r="510" spans="1:23">
      <c r="A510" s="7"/>
      <c r="B510" s="8"/>
      <c r="C510" s="8"/>
      <c r="D510" s="7"/>
      <c r="E510" s="7"/>
      <c r="F510" s="7"/>
      <c r="G510" s="7"/>
      <c r="H510" s="143"/>
      <c r="I510" s="7"/>
      <c r="J510" s="7"/>
      <c r="K510" s="7"/>
      <c r="L510" s="7"/>
      <c r="M510" s="7"/>
      <c r="N510" s="7"/>
      <c r="O510" s="7"/>
      <c r="P510" s="7"/>
      <c r="Q510" s="7"/>
      <c r="R510" s="7"/>
      <c r="S510" s="7"/>
      <c r="T510" s="7"/>
      <c r="U510" s="7"/>
      <c r="V510" s="7"/>
      <c r="W510" s="7"/>
    </row>
    <row r="511" spans="1:23">
      <c r="A511" s="7"/>
      <c r="B511" s="8"/>
      <c r="C511" s="8"/>
      <c r="D511" s="7"/>
      <c r="E511" s="7"/>
      <c r="F511" s="7"/>
      <c r="G511" s="7"/>
      <c r="H511" s="143"/>
      <c r="I511" s="7"/>
      <c r="J511" s="7"/>
      <c r="K511" s="7"/>
      <c r="L511" s="7"/>
      <c r="M511" s="7"/>
      <c r="N511" s="7"/>
      <c r="O511" s="7"/>
      <c r="P511" s="7"/>
      <c r="Q511" s="7"/>
      <c r="R511" s="7"/>
      <c r="S511" s="7"/>
      <c r="T511" s="7"/>
      <c r="U511" s="7"/>
      <c r="V511" s="7"/>
      <c r="W511" s="7"/>
    </row>
    <row r="512" spans="1:23">
      <c r="A512" s="7"/>
      <c r="B512" s="8"/>
      <c r="C512" s="8"/>
      <c r="D512" s="7"/>
      <c r="E512" s="7"/>
      <c r="F512" s="7"/>
      <c r="G512" s="7"/>
      <c r="H512" s="143"/>
      <c r="I512" s="7"/>
      <c r="J512" s="7"/>
      <c r="K512" s="7"/>
      <c r="L512" s="7"/>
      <c r="M512" s="7"/>
      <c r="N512" s="7"/>
      <c r="O512" s="7"/>
      <c r="P512" s="7"/>
      <c r="Q512" s="7"/>
      <c r="R512" s="7"/>
      <c r="S512" s="7"/>
      <c r="T512" s="7"/>
      <c r="U512" s="7"/>
      <c r="V512" s="7"/>
      <c r="W512" s="7"/>
    </row>
    <row r="513" spans="1:23">
      <c r="A513" s="7"/>
      <c r="B513" s="8"/>
      <c r="C513" s="8"/>
      <c r="D513" s="7"/>
      <c r="E513" s="7"/>
      <c r="F513" s="7"/>
      <c r="G513" s="7"/>
      <c r="H513" s="143"/>
      <c r="I513" s="7"/>
      <c r="J513" s="7"/>
      <c r="K513" s="7"/>
      <c r="L513" s="7"/>
      <c r="M513" s="7"/>
      <c r="N513" s="7"/>
      <c r="O513" s="7"/>
      <c r="P513" s="7"/>
      <c r="Q513" s="7"/>
      <c r="R513" s="7"/>
      <c r="S513" s="7"/>
      <c r="T513" s="7"/>
      <c r="U513" s="7"/>
      <c r="V513" s="7"/>
      <c r="W513" s="7"/>
    </row>
    <row r="514" spans="1:23">
      <c r="A514" s="7"/>
      <c r="B514" s="8"/>
      <c r="C514" s="8"/>
      <c r="D514" s="7"/>
      <c r="E514" s="7"/>
      <c r="F514" s="7"/>
      <c r="G514" s="7"/>
      <c r="H514" s="143"/>
      <c r="I514" s="7"/>
      <c r="J514" s="7"/>
      <c r="K514" s="7"/>
      <c r="L514" s="7"/>
      <c r="M514" s="7"/>
      <c r="N514" s="7"/>
      <c r="O514" s="7"/>
      <c r="P514" s="7"/>
      <c r="Q514" s="7"/>
      <c r="R514" s="7"/>
      <c r="S514" s="7"/>
      <c r="T514" s="7"/>
      <c r="U514" s="7"/>
      <c r="V514" s="7"/>
      <c r="W514" s="7"/>
    </row>
    <row r="515" spans="1:23">
      <c r="A515" s="7"/>
      <c r="B515" s="8"/>
      <c r="C515" s="8"/>
      <c r="D515" s="7"/>
      <c r="E515" s="7"/>
      <c r="F515" s="7"/>
      <c r="G515" s="7"/>
      <c r="H515" s="143"/>
      <c r="I515" s="7"/>
      <c r="J515" s="7"/>
      <c r="K515" s="7"/>
      <c r="L515" s="7"/>
      <c r="M515" s="7"/>
      <c r="N515" s="7"/>
      <c r="O515" s="7"/>
      <c r="P515" s="7"/>
      <c r="Q515" s="7"/>
      <c r="R515" s="7"/>
      <c r="S515" s="7"/>
      <c r="T515" s="7"/>
      <c r="U515" s="7"/>
      <c r="V515" s="7"/>
      <c r="W515" s="7"/>
    </row>
    <row r="516" spans="1:23">
      <c r="A516" s="7"/>
      <c r="B516" s="8"/>
      <c r="C516" s="8"/>
      <c r="D516" s="7"/>
      <c r="E516" s="7"/>
      <c r="F516" s="7"/>
      <c r="G516" s="7"/>
      <c r="H516" s="143"/>
      <c r="I516" s="7"/>
      <c r="J516" s="7"/>
      <c r="K516" s="7"/>
      <c r="L516" s="7"/>
      <c r="M516" s="7"/>
      <c r="N516" s="7"/>
      <c r="O516" s="7"/>
      <c r="P516" s="7"/>
      <c r="Q516" s="7"/>
      <c r="R516" s="7"/>
      <c r="S516" s="7"/>
      <c r="T516" s="7"/>
      <c r="U516" s="7"/>
      <c r="V516" s="7"/>
      <c r="W516" s="7"/>
    </row>
    <row r="517" spans="1:23">
      <c r="A517" s="7"/>
      <c r="B517" s="8"/>
      <c r="C517" s="8"/>
      <c r="D517" s="7"/>
      <c r="E517" s="7"/>
      <c r="F517" s="7"/>
      <c r="G517" s="7"/>
      <c r="H517" s="143"/>
      <c r="I517" s="7"/>
      <c r="J517" s="7"/>
      <c r="K517" s="7"/>
      <c r="L517" s="7"/>
      <c r="M517" s="7"/>
      <c r="N517" s="7"/>
      <c r="O517" s="7"/>
      <c r="P517" s="7"/>
      <c r="Q517" s="7"/>
      <c r="R517" s="7"/>
      <c r="S517" s="7"/>
      <c r="T517" s="7"/>
      <c r="U517" s="7"/>
      <c r="V517" s="7"/>
      <c r="W517" s="7"/>
    </row>
    <row r="518" spans="1:23">
      <c r="A518" s="7"/>
      <c r="B518" s="8"/>
      <c r="C518" s="8"/>
      <c r="D518" s="7"/>
      <c r="E518" s="7"/>
      <c r="F518" s="7"/>
      <c r="G518" s="7"/>
      <c r="H518" s="143"/>
      <c r="I518" s="7"/>
      <c r="J518" s="7"/>
      <c r="K518" s="7"/>
      <c r="L518" s="7"/>
      <c r="M518" s="7"/>
      <c r="N518" s="7"/>
      <c r="O518" s="7"/>
      <c r="P518" s="7"/>
      <c r="Q518" s="7"/>
      <c r="R518" s="7"/>
      <c r="S518" s="7"/>
      <c r="T518" s="7"/>
      <c r="U518" s="7"/>
      <c r="V518" s="7"/>
      <c r="W518" s="7"/>
    </row>
    <row r="519" spans="1:23">
      <c r="A519" s="7"/>
      <c r="B519" s="8"/>
      <c r="C519" s="8"/>
      <c r="D519" s="7"/>
      <c r="E519" s="7"/>
      <c r="F519" s="7"/>
      <c r="G519" s="7"/>
      <c r="H519" s="143"/>
      <c r="I519" s="7"/>
      <c r="J519" s="7"/>
      <c r="K519" s="7"/>
      <c r="L519" s="7"/>
      <c r="M519" s="7"/>
      <c r="N519" s="7"/>
      <c r="O519" s="7"/>
      <c r="P519" s="7"/>
      <c r="Q519" s="7"/>
      <c r="R519" s="7"/>
      <c r="S519" s="7"/>
      <c r="T519" s="7"/>
      <c r="U519" s="7"/>
      <c r="V519" s="7"/>
      <c r="W519" s="7"/>
    </row>
    <row r="520" spans="1:23">
      <c r="A520" s="7"/>
      <c r="B520" s="8"/>
      <c r="C520" s="8"/>
      <c r="D520" s="7"/>
      <c r="E520" s="7"/>
      <c r="F520" s="7"/>
      <c r="G520" s="7"/>
      <c r="H520" s="143"/>
      <c r="I520" s="7"/>
      <c r="J520" s="7"/>
      <c r="K520" s="7"/>
      <c r="L520" s="7"/>
      <c r="M520" s="7"/>
      <c r="N520" s="7"/>
      <c r="O520" s="7"/>
      <c r="P520" s="7"/>
      <c r="Q520" s="7"/>
      <c r="R520" s="7"/>
      <c r="S520" s="7"/>
      <c r="T520" s="7"/>
      <c r="U520" s="7"/>
      <c r="V520" s="7"/>
      <c r="W520" s="7"/>
    </row>
    <row r="521" spans="1:23">
      <c r="A521" s="7"/>
      <c r="B521" s="8"/>
      <c r="C521" s="8"/>
      <c r="D521" s="7"/>
      <c r="E521" s="7"/>
      <c r="F521" s="7"/>
      <c r="G521" s="7"/>
      <c r="H521" s="143"/>
      <c r="I521" s="7"/>
      <c r="J521" s="7"/>
      <c r="K521" s="7"/>
      <c r="L521" s="7"/>
      <c r="M521" s="7"/>
      <c r="N521" s="7"/>
      <c r="O521" s="7"/>
      <c r="P521" s="7"/>
      <c r="Q521" s="7"/>
      <c r="R521" s="7"/>
      <c r="S521" s="7"/>
      <c r="T521" s="7"/>
      <c r="U521" s="7"/>
      <c r="V521" s="7"/>
      <c r="W521" s="7"/>
    </row>
    <row r="522" spans="1:23">
      <c r="A522" s="7"/>
      <c r="B522" s="8"/>
      <c r="C522" s="8"/>
      <c r="D522" s="7"/>
      <c r="E522" s="7"/>
      <c r="F522" s="7"/>
      <c r="G522" s="7"/>
      <c r="H522" s="143"/>
      <c r="I522" s="7"/>
      <c r="J522" s="7"/>
      <c r="K522" s="7"/>
      <c r="L522" s="7"/>
      <c r="M522" s="7"/>
      <c r="N522" s="7"/>
      <c r="O522" s="7"/>
      <c r="P522" s="7"/>
      <c r="Q522" s="7"/>
      <c r="R522" s="7"/>
      <c r="S522" s="7"/>
      <c r="T522" s="7"/>
      <c r="U522" s="7"/>
      <c r="V522" s="7"/>
      <c r="W522" s="7"/>
    </row>
    <row r="523" spans="1:23">
      <c r="A523" s="7"/>
      <c r="B523" s="8"/>
      <c r="C523" s="8"/>
      <c r="D523" s="7"/>
      <c r="E523" s="7"/>
      <c r="F523" s="7"/>
      <c r="G523" s="7"/>
      <c r="H523" s="143"/>
      <c r="I523" s="7"/>
      <c r="J523" s="7"/>
      <c r="K523" s="7"/>
      <c r="L523" s="7"/>
      <c r="M523" s="7"/>
      <c r="N523" s="7"/>
      <c r="O523" s="7"/>
      <c r="P523" s="7"/>
      <c r="Q523" s="7"/>
      <c r="R523" s="7"/>
      <c r="S523" s="7"/>
      <c r="T523" s="7"/>
      <c r="U523" s="7"/>
      <c r="V523" s="7"/>
      <c r="W523" s="7"/>
    </row>
    <row r="524" spans="1:23">
      <c r="A524" s="7"/>
      <c r="B524" s="8"/>
      <c r="C524" s="8"/>
      <c r="D524" s="7"/>
      <c r="E524" s="7"/>
      <c r="F524" s="7"/>
      <c r="G524" s="7"/>
      <c r="H524" s="143"/>
      <c r="I524" s="7"/>
      <c r="J524" s="7"/>
      <c r="K524" s="7"/>
      <c r="L524" s="7"/>
      <c r="M524" s="7"/>
      <c r="N524" s="7"/>
      <c r="O524" s="7"/>
      <c r="P524" s="7"/>
      <c r="Q524" s="7"/>
      <c r="R524" s="7"/>
      <c r="S524" s="7"/>
      <c r="T524" s="7"/>
      <c r="U524" s="7"/>
      <c r="V524" s="7"/>
      <c r="W524" s="7"/>
    </row>
    <row r="525" spans="1:23">
      <c r="A525" s="7"/>
      <c r="B525" s="8"/>
      <c r="C525" s="8"/>
      <c r="D525" s="7"/>
      <c r="E525" s="7"/>
      <c r="F525" s="7"/>
      <c r="G525" s="7"/>
      <c r="H525" s="143"/>
      <c r="I525" s="7"/>
      <c r="J525" s="7"/>
      <c r="K525" s="7"/>
      <c r="L525" s="7"/>
      <c r="M525" s="7"/>
      <c r="N525" s="7"/>
      <c r="O525" s="7"/>
      <c r="P525" s="7"/>
      <c r="Q525" s="7"/>
      <c r="R525" s="7"/>
      <c r="S525" s="7"/>
      <c r="T525" s="7"/>
      <c r="U525" s="7"/>
      <c r="V525" s="7"/>
      <c r="W525" s="7"/>
    </row>
    <row r="526" spans="1:23">
      <c r="A526" s="7"/>
      <c r="B526" s="8"/>
      <c r="C526" s="8"/>
      <c r="D526" s="7"/>
      <c r="E526" s="7"/>
      <c r="F526" s="7"/>
      <c r="G526" s="7"/>
      <c r="H526" s="143"/>
      <c r="I526" s="7"/>
      <c r="J526" s="7"/>
      <c r="K526" s="7"/>
      <c r="L526" s="7"/>
      <c r="M526" s="7"/>
      <c r="N526" s="7"/>
      <c r="O526" s="7"/>
      <c r="P526" s="7"/>
      <c r="Q526" s="7"/>
      <c r="R526" s="7"/>
      <c r="S526" s="7"/>
      <c r="T526" s="7"/>
      <c r="U526" s="7"/>
      <c r="V526" s="7"/>
      <c r="W526" s="7"/>
    </row>
    <row r="527" spans="1:23">
      <c r="A527" s="7"/>
      <c r="B527" s="8"/>
      <c r="C527" s="8"/>
      <c r="D527" s="7"/>
      <c r="E527" s="7"/>
      <c r="F527" s="7"/>
      <c r="G527" s="7"/>
      <c r="H527" s="143"/>
      <c r="I527" s="7"/>
      <c r="J527" s="7"/>
      <c r="K527" s="7"/>
      <c r="L527" s="7"/>
      <c r="M527" s="7"/>
      <c r="N527" s="7"/>
      <c r="O527" s="7"/>
      <c r="P527" s="7"/>
      <c r="Q527" s="7"/>
      <c r="R527" s="7"/>
      <c r="S527" s="7"/>
      <c r="T527" s="7"/>
      <c r="U527" s="7"/>
      <c r="V527" s="7"/>
      <c r="W527" s="7"/>
    </row>
    <row r="528" spans="1:23">
      <c r="A528" s="7"/>
      <c r="B528" s="8"/>
      <c r="C528" s="8"/>
      <c r="D528" s="7"/>
      <c r="E528" s="7"/>
      <c r="F528" s="7"/>
      <c r="G528" s="7"/>
      <c r="H528" s="143"/>
      <c r="I528" s="7"/>
      <c r="J528" s="7"/>
      <c r="K528" s="7"/>
      <c r="L528" s="7"/>
      <c r="M528" s="7"/>
      <c r="N528" s="7"/>
      <c r="O528" s="7"/>
      <c r="P528" s="7"/>
      <c r="Q528" s="7"/>
      <c r="R528" s="7"/>
      <c r="S528" s="7"/>
      <c r="T528" s="7"/>
      <c r="U528" s="7"/>
      <c r="V528" s="7"/>
      <c r="W528" s="7"/>
    </row>
    <row r="529" spans="1:23">
      <c r="A529" s="7"/>
      <c r="B529" s="8"/>
      <c r="C529" s="8"/>
      <c r="D529" s="7"/>
      <c r="E529" s="7"/>
      <c r="F529" s="7"/>
      <c r="G529" s="7"/>
      <c r="H529" s="143"/>
      <c r="I529" s="7"/>
      <c r="J529" s="7"/>
      <c r="K529" s="7"/>
      <c r="L529" s="7"/>
      <c r="M529" s="7"/>
      <c r="N529" s="7"/>
      <c r="O529" s="7"/>
      <c r="P529" s="7"/>
      <c r="Q529" s="7"/>
      <c r="R529" s="7"/>
      <c r="S529" s="7"/>
      <c r="T529" s="7"/>
      <c r="U529" s="7"/>
      <c r="V529" s="7"/>
      <c r="W529" s="7"/>
    </row>
    <row r="530" spans="1:23">
      <c r="A530" s="7"/>
      <c r="B530" s="8"/>
      <c r="C530" s="8"/>
      <c r="D530" s="7"/>
      <c r="E530" s="7"/>
      <c r="F530" s="7"/>
      <c r="G530" s="7"/>
      <c r="H530" s="143"/>
      <c r="I530" s="7"/>
      <c r="J530" s="7"/>
      <c r="K530" s="7"/>
      <c r="L530" s="7"/>
      <c r="M530" s="7"/>
      <c r="N530" s="7"/>
      <c r="O530" s="7"/>
      <c r="P530" s="7"/>
      <c r="Q530" s="7"/>
      <c r="R530" s="7"/>
      <c r="S530" s="7"/>
      <c r="T530" s="7"/>
      <c r="U530" s="7"/>
      <c r="V530" s="7"/>
      <c r="W530" s="7"/>
    </row>
    <row r="531" spans="1:23">
      <c r="A531" s="7"/>
      <c r="B531" s="8"/>
      <c r="C531" s="8"/>
      <c r="D531" s="7"/>
      <c r="E531" s="7"/>
      <c r="F531" s="7"/>
      <c r="G531" s="7"/>
      <c r="H531" s="143"/>
      <c r="I531" s="7"/>
      <c r="J531" s="7"/>
      <c r="K531" s="7"/>
      <c r="L531" s="7"/>
      <c r="M531" s="7"/>
      <c r="N531" s="7"/>
      <c r="O531" s="7"/>
      <c r="P531" s="7"/>
      <c r="Q531" s="7"/>
      <c r="R531" s="7"/>
      <c r="S531" s="7"/>
      <c r="T531" s="7"/>
      <c r="U531" s="7"/>
      <c r="V531" s="7"/>
      <c r="W531" s="7"/>
    </row>
    <row r="532" spans="1:23">
      <c r="A532" s="7"/>
      <c r="B532" s="8"/>
      <c r="C532" s="8"/>
      <c r="D532" s="7"/>
      <c r="E532" s="7"/>
      <c r="F532" s="7"/>
      <c r="G532" s="7"/>
      <c r="H532" s="143"/>
      <c r="I532" s="7"/>
      <c r="J532" s="7"/>
      <c r="K532" s="7"/>
      <c r="L532" s="7"/>
      <c r="M532" s="7"/>
      <c r="N532" s="7"/>
      <c r="O532" s="7"/>
      <c r="P532" s="7"/>
      <c r="Q532" s="7"/>
      <c r="R532" s="7"/>
      <c r="S532" s="7"/>
      <c r="T532" s="7"/>
      <c r="U532" s="7"/>
      <c r="V532" s="7"/>
      <c r="W532" s="7"/>
    </row>
    <row r="533" spans="1:23">
      <c r="A533" s="7"/>
      <c r="B533" s="8"/>
      <c r="C533" s="8"/>
      <c r="D533" s="7"/>
      <c r="E533" s="7"/>
      <c r="F533" s="7"/>
      <c r="G533" s="7"/>
      <c r="H533" s="143"/>
      <c r="I533" s="7"/>
      <c r="J533" s="7"/>
      <c r="K533" s="7"/>
      <c r="L533" s="7"/>
      <c r="M533" s="7"/>
      <c r="N533" s="7"/>
      <c r="O533" s="7"/>
      <c r="P533" s="7"/>
      <c r="Q533" s="7"/>
      <c r="R533" s="7"/>
      <c r="S533" s="7"/>
      <c r="T533" s="7"/>
      <c r="U533" s="7"/>
      <c r="V533" s="7"/>
      <c r="W533" s="7"/>
    </row>
    <row r="534" spans="1:23">
      <c r="A534" s="7"/>
      <c r="B534" s="8"/>
      <c r="C534" s="8"/>
      <c r="D534" s="7"/>
      <c r="E534" s="7"/>
      <c r="F534" s="7"/>
      <c r="G534" s="7"/>
      <c r="H534" s="143"/>
      <c r="I534" s="7"/>
      <c r="J534" s="7"/>
      <c r="K534" s="7"/>
      <c r="L534" s="7"/>
      <c r="M534" s="7"/>
      <c r="N534" s="7"/>
      <c r="O534" s="7"/>
      <c r="P534" s="7"/>
      <c r="Q534" s="7"/>
      <c r="R534" s="7"/>
      <c r="S534" s="7"/>
      <c r="T534" s="7"/>
      <c r="U534" s="7"/>
      <c r="V534" s="7"/>
      <c r="W534" s="7"/>
    </row>
    <row r="535" spans="1:23">
      <c r="A535" s="7"/>
      <c r="B535" s="8"/>
      <c r="C535" s="8"/>
      <c r="D535" s="7"/>
      <c r="E535" s="7"/>
      <c r="F535" s="7"/>
      <c r="G535" s="7"/>
      <c r="H535" s="143"/>
      <c r="I535" s="7"/>
      <c r="J535" s="7"/>
      <c r="K535" s="7"/>
      <c r="L535" s="7"/>
      <c r="M535" s="7"/>
      <c r="N535" s="7"/>
      <c r="O535" s="7"/>
      <c r="P535" s="7"/>
      <c r="Q535" s="7"/>
      <c r="R535" s="7"/>
      <c r="S535" s="7"/>
      <c r="T535" s="7"/>
      <c r="U535" s="7"/>
      <c r="V535" s="7"/>
      <c r="W535" s="7"/>
    </row>
    <row r="536" spans="1:23">
      <c r="A536" s="7"/>
      <c r="B536" s="8"/>
      <c r="C536" s="8"/>
      <c r="D536" s="7"/>
      <c r="E536" s="7"/>
      <c r="F536" s="7"/>
      <c r="G536" s="7"/>
      <c r="H536" s="143"/>
      <c r="I536" s="7"/>
      <c r="J536" s="7"/>
      <c r="K536" s="7"/>
      <c r="L536" s="7"/>
      <c r="M536" s="7"/>
      <c r="N536" s="7"/>
      <c r="O536" s="7"/>
      <c r="P536" s="7"/>
      <c r="Q536" s="7"/>
      <c r="R536" s="7"/>
      <c r="S536" s="7"/>
      <c r="T536" s="7"/>
      <c r="U536" s="7"/>
      <c r="V536" s="7"/>
      <c r="W536" s="7"/>
    </row>
    <row r="537" spans="1:23">
      <c r="A537" s="7"/>
      <c r="B537" s="8"/>
      <c r="C537" s="8"/>
      <c r="D537" s="7"/>
      <c r="E537" s="7"/>
      <c r="F537" s="7"/>
      <c r="G537" s="7"/>
      <c r="H537" s="143"/>
      <c r="I537" s="7"/>
      <c r="J537" s="7"/>
      <c r="K537" s="7"/>
      <c r="L537" s="7"/>
      <c r="M537" s="7"/>
      <c r="N537" s="7"/>
      <c r="O537" s="7"/>
      <c r="P537" s="7"/>
      <c r="Q537" s="7"/>
      <c r="R537" s="7"/>
      <c r="S537" s="7"/>
      <c r="T537" s="7"/>
      <c r="U537" s="7"/>
      <c r="V537" s="7"/>
      <c r="W537" s="7"/>
    </row>
    <row r="538" spans="1:23">
      <c r="A538" s="7"/>
      <c r="B538" s="8"/>
      <c r="C538" s="8"/>
      <c r="D538" s="7"/>
      <c r="E538" s="7"/>
      <c r="F538" s="7"/>
      <c r="G538" s="7"/>
      <c r="H538" s="143"/>
      <c r="I538" s="7"/>
      <c r="J538" s="7"/>
      <c r="K538" s="7"/>
      <c r="L538" s="7"/>
      <c r="M538" s="7"/>
      <c r="N538" s="7"/>
      <c r="O538" s="7"/>
      <c r="P538" s="7"/>
      <c r="Q538" s="7"/>
      <c r="R538" s="7"/>
      <c r="S538" s="7"/>
      <c r="T538" s="7"/>
      <c r="U538" s="7"/>
      <c r="V538" s="7"/>
      <c r="W538" s="7"/>
    </row>
    <row r="539" spans="1:23">
      <c r="A539" s="7"/>
      <c r="B539" s="8"/>
      <c r="C539" s="8"/>
      <c r="D539" s="7"/>
      <c r="E539" s="7"/>
      <c r="F539" s="7"/>
      <c r="G539" s="7"/>
      <c r="H539" s="143"/>
      <c r="I539" s="7"/>
      <c r="J539" s="7"/>
      <c r="K539" s="7"/>
      <c r="L539" s="7"/>
      <c r="M539" s="7"/>
      <c r="N539" s="7"/>
      <c r="O539" s="7"/>
      <c r="P539" s="7"/>
      <c r="Q539" s="7"/>
      <c r="R539" s="7"/>
      <c r="S539" s="7"/>
      <c r="T539" s="7"/>
      <c r="U539" s="7"/>
      <c r="V539" s="7"/>
      <c r="W539" s="7"/>
    </row>
    <row r="540" spans="1:23">
      <c r="A540" s="7"/>
      <c r="B540" s="8"/>
      <c r="C540" s="8"/>
      <c r="D540" s="7"/>
      <c r="E540" s="7"/>
      <c r="F540" s="7"/>
      <c r="G540" s="7"/>
      <c r="H540" s="143"/>
      <c r="I540" s="7"/>
      <c r="J540" s="7"/>
      <c r="K540" s="7"/>
      <c r="L540" s="7"/>
      <c r="M540" s="7"/>
      <c r="N540" s="7"/>
      <c r="O540" s="7"/>
      <c r="P540" s="7"/>
      <c r="Q540" s="7"/>
      <c r="R540" s="7"/>
      <c r="S540" s="7"/>
      <c r="T540" s="7"/>
      <c r="U540" s="7"/>
      <c r="V540" s="7"/>
      <c r="W540" s="7"/>
    </row>
    <row r="541" spans="1:23">
      <c r="A541" s="7"/>
      <c r="B541" s="8"/>
      <c r="C541" s="8"/>
      <c r="D541" s="7"/>
      <c r="E541" s="7"/>
      <c r="F541" s="7"/>
      <c r="G541" s="7"/>
      <c r="H541" s="143"/>
      <c r="I541" s="7"/>
      <c r="J541" s="7"/>
      <c r="K541" s="7"/>
      <c r="L541" s="7"/>
      <c r="M541" s="7"/>
      <c r="N541" s="7"/>
      <c r="O541" s="7"/>
      <c r="P541" s="7"/>
      <c r="Q541" s="7"/>
      <c r="R541" s="7"/>
      <c r="S541" s="7"/>
      <c r="T541" s="7"/>
      <c r="U541" s="7"/>
      <c r="V541" s="7"/>
      <c r="W541" s="7"/>
    </row>
    <row r="542" spans="1:23">
      <c r="A542" s="7"/>
      <c r="B542" s="8"/>
      <c r="C542" s="8"/>
      <c r="D542" s="7"/>
      <c r="E542" s="7"/>
      <c r="F542" s="7"/>
      <c r="G542" s="7"/>
      <c r="H542" s="143"/>
      <c r="I542" s="7"/>
      <c r="J542" s="7"/>
      <c r="K542" s="7"/>
      <c r="L542" s="7"/>
      <c r="M542" s="7"/>
      <c r="N542" s="7"/>
      <c r="O542" s="7"/>
      <c r="P542" s="7"/>
      <c r="Q542" s="7"/>
      <c r="R542" s="7"/>
      <c r="S542" s="7"/>
      <c r="T542" s="7"/>
      <c r="U542" s="7"/>
      <c r="V542" s="7"/>
      <c r="W542" s="7"/>
    </row>
    <row r="543" spans="1:23">
      <c r="A543" s="7"/>
      <c r="B543" s="8"/>
      <c r="C543" s="8"/>
      <c r="D543" s="7"/>
      <c r="E543" s="7"/>
      <c r="F543" s="7"/>
      <c r="G543" s="7"/>
      <c r="H543" s="143"/>
      <c r="I543" s="7"/>
      <c r="J543" s="7"/>
      <c r="K543" s="7"/>
      <c r="L543" s="7"/>
      <c r="M543" s="7"/>
      <c r="N543" s="7"/>
      <c r="O543" s="7"/>
      <c r="P543" s="7"/>
      <c r="Q543" s="7"/>
      <c r="R543" s="7"/>
      <c r="S543" s="7"/>
      <c r="T543" s="7"/>
      <c r="U543" s="7"/>
      <c r="V543" s="7"/>
      <c r="W543" s="7"/>
    </row>
    <row r="544" spans="1:23">
      <c r="A544" s="7"/>
      <c r="B544" s="8"/>
      <c r="C544" s="8"/>
      <c r="D544" s="7"/>
      <c r="E544" s="7"/>
      <c r="F544" s="7"/>
      <c r="G544" s="7"/>
      <c r="H544" s="143"/>
      <c r="I544" s="7"/>
      <c r="J544" s="7"/>
      <c r="K544" s="7"/>
      <c r="L544" s="7"/>
      <c r="M544" s="7"/>
      <c r="N544" s="7"/>
      <c r="O544" s="7"/>
      <c r="P544" s="7"/>
      <c r="Q544" s="7"/>
      <c r="R544" s="7"/>
      <c r="S544" s="7"/>
      <c r="T544" s="7"/>
      <c r="U544" s="7"/>
      <c r="V544" s="7"/>
      <c r="W544" s="7"/>
    </row>
    <row r="545" spans="1:23">
      <c r="A545" s="7"/>
      <c r="B545" s="8"/>
      <c r="C545" s="8"/>
      <c r="D545" s="7"/>
      <c r="E545" s="7"/>
      <c r="F545" s="7"/>
      <c r="G545" s="7"/>
      <c r="H545" s="143"/>
      <c r="I545" s="7"/>
      <c r="J545" s="7"/>
      <c r="K545" s="7"/>
      <c r="L545" s="7"/>
      <c r="M545" s="7"/>
      <c r="N545" s="7"/>
      <c r="O545" s="7"/>
      <c r="P545" s="7"/>
      <c r="Q545" s="7"/>
      <c r="R545" s="7"/>
      <c r="S545" s="7"/>
      <c r="T545" s="7"/>
      <c r="U545" s="7"/>
      <c r="V545" s="7"/>
      <c r="W545" s="7"/>
    </row>
    <row r="546" spans="1:23">
      <c r="A546" s="7"/>
      <c r="B546" s="8"/>
      <c r="C546" s="8"/>
      <c r="D546" s="7"/>
      <c r="E546" s="7"/>
      <c r="F546" s="7"/>
      <c r="G546" s="7"/>
      <c r="H546" s="143"/>
      <c r="I546" s="7"/>
      <c r="J546" s="7"/>
      <c r="K546" s="7"/>
      <c r="L546" s="7"/>
      <c r="M546" s="7"/>
      <c r="N546" s="7"/>
      <c r="O546" s="7"/>
      <c r="P546" s="7"/>
      <c r="Q546" s="7"/>
      <c r="R546" s="7"/>
      <c r="S546" s="7"/>
      <c r="T546" s="7"/>
      <c r="U546" s="7"/>
      <c r="V546" s="7"/>
      <c r="W546" s="7"/>
    </row>
    <row r="547" spans="1:23">
      <c r="A547" s="7"/>
      <c r="B547" s="8"/>
      <c r="C547" s="8"/>
      <c r="D547" s="7"/>
      <c r="E547" s="7"/>
      <c r="F547" s="7"/>
      <c r="G547" s="7"/>
      <c r="H547" s="143"/>
      <c r="I547" s="7"/>
      <c r="J547" s="7"/>
      <c r="K547" s="7"/>
      <c r="L547" s="7"/>
      <c r="M547" s="7"/>
      <c r="N547" s="7"/>
      <c r="O547" s="7"/>
      <c r="P547" s="7"/>
      <c r="Q547" s="7"/>
      <c r="R547" s="7"/>
      <c r="S547" s="7"/>
      <c r="T547" s="7"/>
      <c r="U547" s="7"/>
      <c r="V547" s="7"/>
      <c r="W547" s="7"/>
    </row>
    <row r="548" spans="1:23">
      <c r="A548" s="7"/>
      <c r="B548" s="8"/>
      <c r="C548" s="8"/>
      <c r="D548" s="7"/>
      <c r="E548" s="7"/>
      <c r="F548" s="7"/>
      <c r="G548" s="7"/>
      <c r="H548" s="143"/>
      <c r="I548" s="7"/>
      <c r="J548" s="7"/>
      <c r="K548" s="7"/>
      <c r="L548" s="7"/>
      <c r="M548" s="7"/>
      <c r="N548" s="7"/>
      <c r="O548" s="7"/>
      <c r="P548" s="7"/>
      <c r="Q548" s="7"/>
      <c r="R548" s="7"/>
      <c r="S548" s="7"/>
      <c r="T548" s="7"/>
      <c r="U548" s="7"/>
      <c r="V548" s="7"/>
      <c r="W548" s="7"/>
    </row>
    <row r="549" spans="1:23">
      <c r="A549" s="7"/>
      <c r="B549" s="8"/>
      <c r="C549" s="8"/>
      <c r="D549" s="7"/>
      <c r="E549" s="7"/>
      <c r="F549" s="7"/>
      <c r="G549" s="7"/>
      <c r="H549" s="143"/>
      <c r="I549" s="7"/>
      <c r="J549" s="7"/>
      <c r="K549" s="7"/>
      <c r="L549" s="7"/>
      <c r="M549" s="7"/>
      <c r="N549" s="7"/>
      <c r="O549" s="7"/>
      <c r="P549" s="7"/>
      <c r="Q549" s="7"/>
      <c r="R549" s="7"/>
      <c r="S549" s="7"/>
      <c r="T549" s="7"/>
      <c r="U549" s="7"/>
      <c r="V549" s="7"/>
      <c r="W549" s="7"/>
    </row>
    <row r="550" spans="1:23">
      <c r="A550" s="7"/>
      <c r="B550" s="8"/>
      <c r="C550" s="8"/>
      <c r="D550" s="7"/>
      <c r="E550" s="7"/>
      <c r="F550" s="7"/>
      <c r="G550" s="7"/>
      <c r="H550" s="143"/>
      <c r="I550" s="7"/>
      <c r="J550" s="7"/>
      <c r="K550" s="7"/>
      <c r="L550" s="7"/>
      <c r="M550" s="7"/>
      <c r="N550" s="7"/>
      <c r="O550" s="7"/>
      <c r="P550" s="7"/>
      <c r="Q550" s="7"/>
      <c r="R550" s="7"/>
      <c r="S550" s="7"/>
      <c r="T550" s="7"/>
      <c r="U550" s="7"/>
      <c r="V550" s="7"/>
      <c r="W550" s="7"/>
    </row>
    <row r="551" spans="1:23">
      <c r="A551" s="7"/>
      <c r="B551" s="8"/>
      <c r="C551" s="8"/>
      <c r="D551" s="7"/>
      <c r="E551" s="7"/>
      <c r="F551" s="7"/>
      <c r="G551" s="7"/>
      <c r="H551" s="143"/>
      <c r="I551" s="7"/>
      <c r="J551" s="7"/>
      <c r="K551" s="7"/>
      <c r="L551" s="7"/>
      <c r="M551" s="7"/>
      <c r="N551" s="7"/>
      <c r="O551" s="7"/>
      <c r="P551" s="7"/>
      <c r="Q551" s="7"/>
      <c r="R551" s="7"/>
      <c r="S551" s="7"/>
      <c r="T551" s="7"/>
      <c r="U551" s="7"/>
      <c r="V551" s="7"/>
      <c r="W551" s="7"/>
    </row>
    <row r="552" spans="1:23">
      <c r="A552" s="7"/>
      <c r="B552" s="8"/>
      <c r="C552" s="8"/>
      <c r="D552" s="7"/>
      <c r="E552" s="7"/>
      <c r="F552" s="7"/>
      <c r="G552" s="7"/>
      <c r="H552" s="143"/>
      <c r="I552" s="7"/>
      <c r="J552" s="7"/>
      <c r="K552" s="7"/>
      <c r="L552" s="7"/>
      <c r="M552" s="7"/>
      <c r="N552" s="7"/>
      <c r="O552" s="7"/>
      <c r="P552" s="7"/>
      <c r="Q552" s="7"/>
      <c r="R552" s="7"/>
      <c r="S552" s="7"/>
      <c r="T552" s="7"/>
      <c r="U552" s="7"/>
      <c r="V552" s="7"/>
      <c r="W552" s="7"/>
    </row>
    <row r="553" spans="1:23">
      <c r="A553" s="7"/>
      <c r="B553" s="8"/>
      <c r="C553" s="8"/>
      <c r="D553" s="7"/>
      <c r="E553" s="7"/>
      <c r="F553" s="7"/>
      <c r="G553" s="7"/>
      <c r="H553" s="143"/>
      <c r="I553" s="7"/>
      <c r="J553" s="7"/>
      <c r="K553" s="7"/>
      <c r="L553" s="7"/>
      <c r="M553" s="7"/>
      <c r="N553" s="7"/>
      <c r="O553" s="7"/>
      <c r="P553" s="7"/>
      <c r="Q553" s="7"/>
      <c r="R553" s="7"/>
      <c r="S553" s="7"/>
      <c r="T553" s="7"/>
      <c r="U553" s="7"/>
      <c r="V553" s="7"/>
      <c r="W553" s="7"/>
    </row>
    <row r="554" spans="1:23">
      <c r="A554" s="7"/>
      <c r="B554" s="8"/>
      <c r="C554" s="8"/>
      <c r="D554" s="7"/>
      <c r="E554" s="7"/>
      <c r="F554" s="7"/>
      <c r="G554" s="7"/>
      <c r="H554" s="143"/>
      <c r="I554" s="7"/>
      <c r="J554" s="7"/>
      <c r="K554" s="7"/>
      <c r="L554" s="7"/>
      <c r="M554" s="7"/>
      <c r="N554" s="7"/>
      <c r="O554" s="7"/>
      <c r="P554" s="7"/>
      <c r="Q554" s="7"/>
      <c r="R554" s="7"/>
      <c r="S554" s="7"/>
      <c r="T554" s="7"/>
      <c r="U554" s="7"/>
      <c r="V554" s="7"/>
      <c r="W554" s="7"/>
    </row>
    <row r="555" spans="1:23">
      <c r="A555" s="7"/>
      <c r="B555" s="8"/>
      <c r="C555" s="8"/>
      <c r="D555" s="7"/>
      <c r="E555" s="7"/>
      <c r="F555" s="7"/>
      <c r="G555" s="7"/>
      <c r="H555" s="143"/>
      <c r="I555" s="7"/>
      <c r="J555" s="7"/>
      <c r="K555" s="7"/>
      <c r="L555" s="7"/>
      <c r="M555" s="7"/>
      <c r="N555" s="7"/>
      <c r="O555" s="7"/>
      <c r="P555" s="7"/>
      <c r="Q555" s="7"/>
      <c r="R555" s="7"/>
      <c r="S555" s="7"/>
      <c r="T555" s="7"/>
      <c r="U555" s="7"/>
      <c r="V555" s="7"/>
      <c r="W555" s="7"/>
    </row>
    <row r="556" spans="1:23">
      <c r="A556" s="7"/>
      <c r="B556" s="8"/>
      <c r="C556" s="8"/>
      <c r="D556" s="7"/>
      <c r="E556" s="7"/>
      <c r="F556" s="7"/>
      <c r="G556" s="7"/>
      <c r="H556" s="143"/>
      <c r="I556" s="7"/>
      <c r="J556" s="7"/>
      <c r="K556" s="7"/>
      <c r="L556" s="7"/>
      <c r="M556" s="7"/>
      <c r="N556" s="7"/>
      <c r="O556" s="7"/>
      <c r="P556" s="7"/>
      <c r="Q556" s="7"/>
      <c r="R556" s="7"/>
      <c r="S556" s="7"/>
      <c r="T556" s="7"/>
      <c r="U556" s="7"/>
      <c r="V556" s="7"/>
      <c r="W556" s="7"/>
    </row>
    <row r="557" spans="1:23">
      <c r="A557" s="7"/>
      <c r="B557" s="8"/>
      <c r="C557" s="8"/>
      <c r="D557" s="7"/>
      <c r="E557" s="7"/>
      <c r="F557" s="7"/>
      <c r="G557" s="7"/>
      <c r="H557" s="143"/>
      <c r="I557" s="7"/>
      <c r="J557" s="7"/>
      <c r="K557" s="7"/>
      <c r="L557" s="7"/>
      <c r="M557" s="7"/>
      <c r="N557" s="7"/>
      <c r="O557" s="7"/>
      <c r="P557" s="7"/>
      <c r="Q557" s="7"/>
      <c r="R557" s="7"/>
      <c r="S557" s="7"/>
      <c r="T557" s="7"/>
      <c r="U557" s="7"/>
      <c r="V557" s="7"/>
      <c r="W557" s="7"/>
    </row>
    <row r="558" spans="1:23">
      <c r="A558" s="7"/>
      <c r="B558" s="8"/>
      <c r="C558" s="8"/>
      <c r="D558" s="7"/>
      <c r="E558" s="7"/>
      <c r="F558" s="7"/>
      <c r="G558" s="7"/>
      <c r="H558" s="143"/>
      <c r="I558" s="7"/>
      <c r="J558" s="7"/>
      <c r="K558" s="7"/>
      <c r="L558" s="7"/>
      <c r="M558" s="7"/>
      <c r="N558" s="7"/>
      <c r="O558" s="7"/>
      <c r="P558" s="7"/>
      <c r="Q558" s="7"/>
      <c r="R558" s="7"/>
      <c r="S558" s="7"/>
      <c r="T558" s="7"/>
      <c r="U558" s="7"/>
      <c r="V558" s="7"/>
      <c r="W558" s="7"/>
    </row>
    <row r="559" spans="1:23">
      <c r="A559" s="7"/>
      <c r="B559" s="8"/>
      <c r="C559" s="8"/>
      <c r="D559" s="7"/>
      <c r="E559" s="7"/>
      <c r="F559" s="7"/>
      <c r="G559" s="7"/>
      <c r="H559" s="143"/>
      <c r="I559" s="7"/>
      <c r="J559" s="7"/>
      <c r="K559" s="7"/>
      <c r="L559" s="7"/>
      <c r="M559" s="7"/>
      <c r="N559" s="7"/>
      <c r="O559" s="7"/>
      <c r="P559" s="7"/>
      <c r="Q559" s="7"/>
      <c r="R559" s="7"/>
      <c r="S559" s="7"/>
      <c r="T559" s="7"/>
      <c r="U559" s="7"/>
      <c r="V559" s="7"/>
      <c r="W559" s="7"/>
    </row>
    <row r="560" spans="1:23">
      <c r="A560" s="7"/>
      <c r="B560" s="8"/>
      <c r="C560" s="8"/>
      <c r="D560" s="7"/>
      <c r="E560" s="7"/>
      <c r="F560" s="7"/>
      <c r="G560" s="7"/>
      <c r="H560" s="143"/>
      <c r="I560" s="7"/>
      <c r="J560" s="7"/>
      <c r="K560" s="7"/>
      <c r="L560" s="7"/>
      <c r="M560" s="7"/>
      <c r="N560" s="7"/>
      <c r="O560" s="7"/>
      <c r="P560" s="7"/>
      <c r="Q560" s="7"/>
      <c r="R560" s="7"/>
      <c r="S560" s="7"/>
      <c r="T560" s="7"/>
      <c r="U560" s="7"/>
      <c r="V560" s="7"/>
      <c r="W560" s="7"/>
    </row>
    <row r="561" spans="1:23">
      <c r="A561" s="7"/>
      <c r="B561" s="8"/>
      <c r="C561" s="8"/>
      <c r="D561" s="7"/>
      <c r="E561" s="7"/>
      <c r="F561" s="7"/>
      <c r="G561" s="7"/>
      <c r="H561" s="143"/>
      <c r="I561" s="7"/>
      <c r="J561" s="7"/>
      <c r="K561" s="7"/>
      <c r="L561" s="7"/>
      <c r="M561" s="7"/>
      <c r="N561" s="7"/>
      <c r="O561" s="7"/>
      <c r="P561" s="7"/>
      <c r="Q561" s="7"/>
      <c r="R561" s="7"/>
      <c r="S561" s="7"/>
      <c r="T561" s="7"/>
      <c r="U561" s="7"/>
      <c r="V561" s="7"/>
      <c r="W561" s="7"/>
    </row>
    <row r="562" spans="1:23">
      <c r="A562" s="7"/>
      <c r="B562" s="8"/>
      <c r="C562" s="8"/>
      <c r="D562" s="7"/>
      <c r="E562" s="7"/>
      <c r="F562" s="7"/>
      <c r="G562" s="7"/>
      <c r="H562" s="143"/>
      <c r="I562" s="7"/>
      <c r="J562" s="7"/>
      <c r="K562" s="7"/>
      <c r="L562" s="7"/>
      <c r="M562" s="7"/>
      <c r="N562" s="7"/>
      <c r="O562" s="7"/>
      <c r="P562" s="7"/>
      <c r="Q562" s="7"/>
      <c r="R562" s="7"/>
      <c r="S562" s="7"/>
      <c r="T562" s="7"/>
      <c r="U562" s="7"/>
      <c r="V562" s="7"/>
      <c r="W562" s="7"/>
    </row>
    <row r="563" spans="1:23">
      <c r="A563" s="7"/>
      <c r="B563" s="8"/>
      <c r="C563" s="8"/>
      <c r="D563" s="7"/>
      <c r="E563" s="7"/>
      <c r="F563" s="7"/>
      <c r="G563" s="7"/>
      <c r="H563" s="143"/>
      <c r="I563" s="7"/>
      <c r="J563" s="7"/>
      <c r="K563" s="7"/>
      <c r="L563" s="7"/>
      <c r="M563" s="7"/>
      <c r="N563" s="7"/>
      <c r="O563" s="7"/>
      <c r="P563" s="7"/>
      <c r="Q563" s="7"/>
      <c r="R563" s="7"/>
      <c r="S563" s="7"/>
      <c r="T563" s="7"/>
      <c r="U563" s="7"/>
      <c r="V563" s="7"/>
      <c r="W563" s="7"/>
    </row>
    <row r="564" spans="1:23">
      <c r="A564" s="7"/>
      <c r="B564" s="8"/>
      <c r="C564" s="8"/>
      <c r="D564" s="7"/>
      <c r="E564" s="7"/>
      <c r="F564" s="7"/>
      <c r="G564" s="7"/>
      <c r="H564" s="143"/>
      <c r="I564" s="7"/>
      <c r="J564" s="7"/>
      <c r="K564" s="7"/>
      <c r="L564" s="7"/>
      <c r="M564" s="7"/>
      <c r="N564" s="7"/>
      <c r="O564" s="7"/>
      <c r="P564" s="7"/>
      <c r="Q564" s="7"/>
      <c r="R564" s="7"/>
      <c r="S564" s="7"/>
      <c r="T564" s="7"/>
      <c r="U564" s="7"/>
      <c r="V564" s="7"/>
      <c r="W564" s="7"/>
    </row>
    <row r="565" spans="1:23">
      <c r="A565" s="7"/>
      <c r="B565" s="8"/>
      <c r="C565" s="8"/>
      <c r="D565" s="7"/>
      <c r="E565" s="7"/>
      <c r="F565" s="7"/>
      <c r="G565" s="7"/>
      <c r="H565" s="143"/>
      <c r="I565" s="7"/>
      <c r="J565" s="7"/>
      <c r="K565" s="7"/>
      <c r="L565" s="7"/>
      <c r="M565" s="7"/>
      <c r="N565" s="7"/>
      <c r="O565" s="7"/>
      <c r="P565" s="7"/>
      <c r="Q565" s="7"/>
      <c r="R565" s="7"/>
      <c r="S565" s="7"/>
      <c r="T565" s="7"/>
      <c r="U565" s="7"/>
      <c r="V565" s="7"/>
      <c r="W565" s="7"/>
    </row>
    <row r="566" spans="1:23">
      <c r="A566" s="7"/>
      <c r="B566" s="8"/>
      <c r="C566" s="8"/>
      <c r="D566" s="7"/>
      <c r="E566" s="7"/>
      <c r="F566" s="7"/>
      <c r="G566" s="7"/>
      <c r="H566" s="143"/>
      <c r="I566" s="7"/>
      <c r="J566" s="7"/>
      <c r="K566" s="7"/>
      <c r="L566" s="7"/>
      <c r="M566" s="7"/>
      <c r="N566" s="7"/>
      <c r="O566" s="7"/>
      <c r="P566" s="7"/>
      <c r="Q566" s="7"/>
      <c r="R566" s="7"/>
      <c r="S566" s="7"/>
      <c r="T566" s="7"/>
      <c r="U566" s="7"/>
      <c r="V566" s="7"/>
      <c r="W566" s="7"/>
    </row>
    <row r="567" spans="1:23">
      <c r="A567" s="7"/>
      <c r="B567" s="8"/>
      <c r="C567" s="8"/>
      <c r="D567" s="7"/>
      <c r="E567" s="7"/>
      <c r="F567" s="7"/>
      <c r="G567" s="7"/>
      <c r="H567" s="143"/>
      <c r="I567" s="7"/>
      <c r="J567" s="7"/>
      <c r="K567" s="7"/>
      <c r="L567" s="7"/>
      <c r="M567" s="7"/>
      <c r="N567" s="7"/>
      <c r="O567" s="7"/>
      <c r="P567" s="7"/>
      <c r="Q567" s="7"/>
      <c r="R567" s="7"/>
      <c r="S567" s="7"/>
      <c r="T567" s="7"/>
      <c r="U567" s="7"/>
      <c r="V567" s="7"/>
      <c r="W567" s="7"/>
    </row>
    <row r="568" spans="1:23">
      <c r="A568" s="7"/>
      <c r="B568" s="8"/>
      <c r="C568" s="8"/>
      <c r="D568" s="7"/>
      <c r="E568" s="7"/>
      <c r="F568" s="7"/>
      <c r="G568" s="7"/>
      <c r="H568" s="143"/>
      <c r="I568" s="7"/>
      <c r="J568" s="7"/>
      <c r="K568" s="7"/>
      <c r="L568" s="7"/>
      <c r="M568" s="7"/>
      <c r="N568" s="7"/>
      <c r="O568" s="7"/>
      <c r="P568" s="7"/>
      <c r="Q568" s="7"/>
      <c r="R568" s="7"/>
      <c r="S568" s="7"/>
      <c r="T568" s="7"/>
      <c r="U568" s="7"/>
      <c r="V568" s="7"/>
      <c r="W568" s="7"/>
    </row>
    <row r="569" spans="1:23">
      <c r="A569" s="7"/>
      <c r="B569" s="8"/>
      <c r="C569" s="8"/>
      <c r="D569" s="7"/>
      <c r="E569" s="7"/>
      <c r="F569" s="7"/>
      <c r="G569" s="7"/>
      <c r="H569" s="143"/>
      <c r="I569" s="7"/>
      <c r="J569" s="7"/>
      <c r="K569" s="7"/>
      <c r="L569" s="7"/>
      <c r="M569" s="7"/>
      <c r="N569" s="7"/>
      <c r="O569" s="7"/>
      <c r="P569" s="7"/>
      <c r="Q569" s="7"/>
      <c r="R569" s="7"/>
      <c r="S569" s="7"/>
      <c r="T569" s="7"/>
      <c r="U569" s="7"/>
      <c r="V569" s="7"/>
      <c r="W569" s="7"/>
    </row>
    <row r="570" spans="1:23">
      <c r="A570" s="7"/>
      <c r="B570" s="8"/>
      <c r="C570" s="8"/>
      <c r="D570" s="7"/>
      <c r="E570" s="7"/>
      <c r="F570" s="7"/>
      <c r="G570" s="7"/>
      <c r="H570" s="143"/>
      <c r="I570" s="7"/>
      <c r="J570" s="7"/>
      <c r="K570" s="7"/>
      <c r="L570" s="7"/>
      <c r="M570" s="7"/>
      <c r="N570" s="7"/>
      <c r="O570" s="7"/>
      <c r="P570" s="7"/>
      <c r="Q570" s="7"/>
      <c r="R570" s="7"/>
      <c r="S570" s="7"/>
      <c r="T570" s="7"/>
      <c r="U570" s="7"/>
      <c r="V570" s="7"/>
      <c r="W570" s="7"/>
    </row>
    <row r="571" spans="1:23">
      <c r="A571" s="7"/>
      <c r="B571" s="8"/>
      <c r="C571" s="8"/>
      <c r="D571" s="7"/>
      <c r="E571" s="7"/>
      <c r="F571" s="7"/>
      <c r="G571" s="7"/>
      <c r="H571" s="143"/>
      <c r="I571" s="7"/>
      <c r="J571" s="7"/>
      <c r="K571" s="7"/>
      <c r="L571" s="7"/>
      <c r="M571" s="7"/>
      <c r="N571" s="7"/>
      <c r="O571" s="7"/>
      <c r="P571" s="7"/>
      <c r="Q571" s="7"/>
      <c r="R571" s="7"/>
      <c r="S571" s="7"/>
      <c r="T571" s="7"/>
      <c r="U571" s="7"/>
      <c r="V571" s="7"/>
      <c r="W571" s="7"/>
    </row>
    <row r="572" spans="1:23">
      <c r="A572" s="7"/>
      <c r="B572" s="8"/>
      <c r="C572" s="8"/>
      <c r="D572" s="7"/>
      <c r="E572" s="7"/>
      <c r="F572" s="7"/>
      <c r="G572" s="7"/>
      <c r="H572" s="143"/>
      <c r="I572" s="7"/>
      <c r="J572" s="7"/>
      <c r="K572" s="7"/>
      <c r="L572" s="7"/>
      <c r="M572" s="7"/>
      <c r="N572" s="7"/>
      <c r="O572" s="7"/>
      <c r="P572" s="7"/>
      <c r="Q572" s="7"/>
      <c r="R572" s="7"/>
      <c r="S572" s="7"/>
      <c r="T572" s="7"/>
      <c r="U572" s="7"/>
      <c r="V572" s="7"/>
      <c r="W572" s="7"/>
    </row>
    <row r="573" spans="1:23">
      <c r="A573" s="7"/>
      <c r="B573" s="8"/>
      <c r="C573" s="8"/>
      <c r="D573" s="7"/>
      <c r="E573" s="7"/>
      <c r="F573" s="7"/>
      <c r="G573" s="7"/>
      <c r="H573" s="143"/>
      <c r="I573" s="7"/>
      <c r="J573" s="7"/>
      <c r="K573" s="7"/>
      <c r="L573" s="7"/>
      <c r="M573" s="7"/>
      <c r="N573" s="7"/>
      <c r="O573" s="7"/>
      <c r="P573" s="7"/>
      <c r="Q573" s="7"/>
      <c r="R573" s="7"/>
      <c r="S573" s="7"/>
      <c r="T573" s="7"/>
      <c r="U573" s="7"/>
      <c r="V573" s="7"/>
      <c r="W573" s="7"/>
    </row>
    <row r="574" spans="1:23">
      <c r="A574" s="7"/>
      <c r="B574" s="8"/>
      <c r="C574" s="8"/>
      <c r="D574" s="7"/>
      <c r="E574" s="7"/>
      <c r="F574" s="7"/>
      <c r="G574" s="7"/>
      <c r="H574" s="143"/>
      <c r="I574" s="7"/>
      <c r="J574" s="7"/>
      <c r="K574" s="7"/>
      <c r="L574" s="7"/>
      <c r="M574" s="7"/>
      <c r="N574" s="7"/>
      <c r="O574" s="7"/>
      <c r="P574" s="7"/>
      <c r="Q574" s="7"/>
      <c r="R574" s="7"/>
      <c r="S574" s="7"/>
      <c r="T574" s="7"/>
      <c r="U574" s="7"/>
      <c r="V574" s="7"/>
      <c r="W574" s="7"/>
    </row>
    <row r="575" spans="1:23">
      <c r="A575" s="7"/>
      <c r="B575" s="8"/>
      <c r="C575" s="8"/>
      <c r="D575" s="7"/>
      <c r="E575" s="7"/>
      <c r="F575" s="7"/>
      <c r="G575" s="7"/>
      <c r="H575" s="143"/>
      <c r="I575" s="7"/>
      <c r="J575" s="7"/>
      <c r="K575" s="7"/>
      <c r="L575" s="7"/>
      <c r="M575" s="7"/>
      <c r="N575" s="7"/>
      <c r="O575" s="7"/>
      <c r="P575" s="7"/>
      <c r="Q575" s="7"/>
      <c r="R575" s="7"/>
      <c r="S575" s="7"/>
      <c r="T575" s="7"/>
      <c r="U575" s="7"/>
      <c r="V575" s="7"/>
      <c r="W575" s="7"/>
    </row>
    <row r="576" spans="1:23">
      <c r="A576" s="7"/>
      <c r="B576" s="8"/>
      <c r="C576" s="8"/>
      <c r="D576" s="7"/>
      <c r="E576" s="7"/>
      <c r="F576" s="7"/>
      <c r="G576" s="7"/>
      <c r="H576" s="143"/>
      <c r="I576" s="7"/>
      <c r="J576" s="7"/>
      <c r="K576" s="7"/>
      <c r="L576" s="7"/>
      <c r="M576" s="7"/>
      <c r="N576" s="7"/>
      <c r="O576" s="7"/>
      <c r="P576" s="7"/>
      <c r="Q576" s="7"/>
      <c r="R576" s="7"/>
      <c r="S576" s="7"/>
      <c r="T576" s="7"/>
      <c r="U576" s="7"/>
      <c r="V576" s="7"/>
      <c r="W576" s="7"/>
    </row>
    <row r="577" spans="1:23">
      <c r="A577" s="7"/>
      <c r="B577" s="8"/>
      <c r="C577" s="8"/>
      <c r="D577" s="7"/>
      <c r="E577" s="7"/>
      <c r="F577" s="7"/>
      <c r="G577" s="7"/>
      <c r="H577" s="143"/>
      <c r="I577" s="7"/>
      <c r="J577" s="7"/>
      <c r="K577" s="7"/>
      <c r="L577" s="7"/>
      <c r="M577" s="7"/>
      <c r="N577" s="7"/>
      <c r="O577" s="7"/>
      <c r="P577" s="7"/>
      <c r="Q577" s="7"/>
      <c r="R577" s="7"/>
      <c r="S577" s="7"/>
      <c r="T577" s="7"/>
      <c r="U577" s="7"/>
      <c r="V577" s="7"/>
      <c r="W577" s="7"/>
    </row>
    <row r="578" spans="1:23">
      <c r="A578" s="7"/>
      <c r="B578" s="8"/>
      <c r="C578" s="8"/>
      <c r="D578" s="7"/>
      <c r="E578" s="7"/>
      <c r="F578" s="7"/>
      <c r="G578" s="7"/>
      <c r="H578" s="143"/>
      <c r="I578" s="7"/>
      <c r="J578" s="7"/>
      <c r="K578" s="7"/>
      <c r="L578" s="7"/>
      <c r="M578" s="7"/>
      <c r="N578" s="7"/>
      <c r="O578" s="7"/>
      <c r="P578" s="7"/>
      <c r="Q578" s="7"/>
      <c r="R578" s="7"/>
      <c r="S578" s="7"/>
      <c r="T578" s="7"/>
      <c r="U578" s="7"/>
      <c r="V578" s="7"/>
      <c r="W578" s="7"/>
    </row>
    <row r="579" spans="1:23">
      <c r="A579" s="7"/>
      <c r="B579" s="8"/>
      <c r="C579" s="8"/>
      <c r="D579" s="7"/>
      <c r="E579" s="7"/>
      <c r="F579" s="7"/>
      <c r="G579" s="7"/>
      <c r="H579" s="143"/>
      <c r="I579" s="7"/>
      <c r="J579" s="7"/>
      <c r="K579" s="7"/>
      <c r="L579" s="7"/>
      <c r="M579" s="7"/>
      <c r="N579" s="7"/>
      <c r="O579" s="7"/>
      <c r="P579" s="7"/>
      <c r="Q579" s="7"/>
      <c r="R579" s="7"/>
      <c r="S579" s="7"/>
      <c r="T579" s="7"/>
      <c r="U579" s="7"/>
      <c r="V579" s="7"/>
      <c r="W579" s="7"/>
    </row>
    <row r="580" spans="1:23">
      <c r="A580" s="7"/>
      <c r="B580" s="8"/>
      <c r="C580" s="8"/>
      <c r="D580" s="7"/>
      <c r="E580" s="7"/>
      <c r="F580" s="7"/>
      <c r="G580" s="7"/>
      <c r="H580" s="143"/>
      <c r="I580" s="7"/>
      <c r="J580" s="7"/>
      <c r="K580" s="7"/>
      <c r="L580" s="7"/>
      <c r="M580" s="7"/>
      <c r="N580" s="7"/>
      <c r="O580" s="7"/>
      <c r="P580" s="7"/>
      <c r="Q580" s="7"/>
      <c r="R580" s="7"/>
      <c r="S580" s="7"/>
      <c r="T580" s="7"/>
      <c r="U580" s="7"/>
      <c r="V580" s="7"/>
      <c r="W580" s="7"/>
    </row>
    <row r="581" spans="1:23">
      <c r="A581" s="7"/>
      <c r="B581" s="8"/>
      <c r="C581" s="8"/>
      <c r="D581" s="7"/>
      <c r="E581" s="7"/>
      <c r="F581" s="7"/>
      <c r="G581" s="7"/>
      <c r="H581" s="143"/>
      <c r="I581" s="7"/>
      <c r="J581" s="7"/>
      <c r="K581" s="7"/>
      <c r="L581" s="7"/>
      <c r="M581" s="7"/>
      <c r="N581" s="7"/>
      <c r="O581" s="7"/>
      <c r="P581" s="7"/>
      <c r="Q581" s="7"/>
      <c r="R581" s="7"/>
      <c r="S581" s="7"/>
      <c r="T581" s="7"/>
      <c r="U581" s="7"/>
      <c r="V581" s="7"/>
      <c r="W581" s="7"/>
    </row>
    <row r="582" spans="1:23">
      <c r="A582" s="7"/>
      <c r="B582" s="8"/>
      <c r="C582" s="8"/>
      <c r="D582" s="7"/>
      <c r="E582" s="7"/>
      <c r="F582" s="7"/>
      <c r="G582" s="7"/>
      <c r="H582" s="143"/>
      <c r="I582" s="7"/>
      <c r="J582" s="7"/>
      <c r="K582" s="7"/>
      <c r="L582" s="7"/>
      <c r="M582" s="7"/>
      <c r="N582" s="7"/>
      <c r="O582" s="7"/>
      <c r="P582" s="7"/>
      <c r="Q582" s="7"/>
      <c r="R582" s="7"/>
      <c r="S582" s="7"/>
      <c r="T582" s="7"/>
      <c r="U582" s="7"/>
      <c r="V582" s="7"/>
      <c r="W582" s="7"/>
    </row>
    <row r="583" spans="1:23">
      <c r="A583" s="7"/>
      <c r="B583" s="8"/>
      <c r="C583" s="8"/>
      <c r="D583" s="7"/>
      <c r="E583" s="7"/>
      <c r="F583" s="7"/>
      <c r="G583" s="7"/>
      <c r="H583" s="143"/>
      <c r="I583" s="7"/>
      <c r="J583" s="7"/>
      <c r="K583" s="7"/>
      <c r="L583" s="7"/>
      <c r="M583" s="7"/>
      <c r="N583" s="7"/>
      <c r="O583" s="7"/>
      <c r="P583" s="7"/>
      <c r="Q583" s="7"/>
      <c r="R583" s="7"/>
      <c r="S583" s="7"/>
      <c r="T583" s="7"/>
      <c r="U583" s="7"/>
      <c r="V583" s="7"/>
      <c r="W583" s="7"/>
    </row>
    <row r="584" spans="1:23">
      <c r="A584" s="7"/>
      <c r="B584" s="8"/>
      <c r="C584" s="8"/>
      <c r="D584" s="7"/>
      <c r="E584" s="7"/>
      <c r="F584" s="7"/>
      <c r="G584" s="7"/>
      <c r="H584" s="143"/>
      <c r="I584" s="7"/>
      <c r="J584" s="7"/>
      <c r="K584" s="7"/>
      <c r="L584" s="7"/>
      <c r="M584" s="7"/>
      <c r="N584" s="7"/>
      <c r="O584" s="7"/>
      <c r="P584" s="7"/>
      <c r="Q584" s="7"/>
      <c r="R584" s="7"/>
      <c r="S584" s="7"/>
      <c r="T584" s="7"/>
      <c r="U584" s="7"/>
      <c r="V584" s="7"/>
      <c r="W584" s="7"/>
    </row>
    <row r="585" spans="1:23">
      <c r="A585" s="7"/>
      <c r="B585" s="8"/>
      <c r="C585" s="8"/>
      <c r="D585" s="7"/>
      <c r="E585" s="7"/>
      <c r="F585" s="7"/>
      <c r="G585" s="7"/>
      <c r="H585" s="143"/>
      <c r="I585" s="7"/>
      <c r="J585" s="7"/>
      <c r="K585" s="7"/>
      <c r="L585" s="7"/>
      <c r="M585" s="7"/>
      <c r="N585" s="7"/>
      <c r="O585" s="7"/>
      <c r="P585" s="7"/>
      <c r="Q585" s="7"/>
      <c r="R585" s="7"/>
      <c r="S585" s="7"/>
      <c r="T585" s="7"/>
      <c r="U585" s="7"/>
      <c r="V585" s="7"/>
      <c r="W585" s="7"/>
    </row>
    <row r="586" spans="1:23">
      <c r="A586" s="7"/>
      <c r="B586" s="8"/>
      <c r="C586" s="8"/>
      <c r="D586" s="7"/>
      <c r="E586" s="7"/>
      <c r="F586" s="7"/>
      <c r="G586" s="7"/>
      <c r="H586" s="143"/>
      <c r="I586" s="7"/>
      <c r="J586" s="7"/>
      <c r="K586" s="7"/>
      <c r="L586" s="7"/>
      <c r="M586" s="7"/>
      <c r="N586" s="7"/>
      <c r="O586" s="7"/>
      <c r="P586" s="7"/>
      <c r="Q586" s="7"/>
      <c r="R586" s="7"/>
      <c r="S586" s="7"/>
      <c r="T586" s="7"/>
      <c r="U586" s="7"/>
      <c r="V586" s="7"/>
      <c r="W586" s="7"/>
    </row>
    <row r="587" spans="1:23">
      <c r="A587" s="7"/>
      <c r="B587" s="8"/>
      <c r="C587" s="8"/>
      <c r="D587" s="7"/>
      <c r="E587" s="7"/>
      <c r="F587" s="7"/>
      <c r="G587" s="7"/>
      <c r="H587" s="143"/>
      <c r="I587" s="7"/>
      <c r="J587" s="7"/>
      <c r="K587" s="7"/>
      <c r="L587" s="7"/>
      <c r="M587" s="7"/>
      <c r="N587" s="7"/>
      <c r="O587" s="7"/>
      <c r="P587" s="7"/>
      <c r="Q587" s="7"/>
      <c r="R587" s="7"/>
      <c r="S587" s="7"/>
      <c r="T587" s="7"/>
      <c r="U587" s="7"/>
      <c r="V587" s="7"/>
      <c r="W587" s="7"/>
    </row>
    <row r="588" spans="1:23">
      <c r="A588" s="7"/>
      <c r="B588" s="8"/>
      <c r="C588" s="8"/>
      <c r="D588" s="7"/>
      <c r="E588" s="7"/>
      <c r="F588" s="7"/>
      <c r="G588" s="7"/>
      <c r="H588" s="143"/>
      <c r="I588" s="7"/>
      <c r="J588" s="7"/>
      <c r="K588" s="7"/>
      <c r="L588" s="7"/>
      <c r="M588" s="7"/>
      <c r="N588" s="7"/>
      <c r="O588" s="7"/>
      <c r="P588" s="7"/>
      <c r="Q588" s="7"/>
      <c r="R588" s="7"/>
      <c r="S588" s="7"/>
      <c r="T588" s="7"/>
      <c r="U588" s="7"/>
      <c r="V588" s="7"/>
      <c r="W588" s="7"/>
    </row>
    <row r="589" spans="1:23">
      <c r="A589" s="7"/>
      <c r="B589" s="8"/>
      <c r="C589" s="8"/>
      <c r="D589" s="7"/>
      <c r="E589" s="7"/>
      <c r="F589" s="7"/>
      <c r="G589" s="7"/>
      <c r="H589" s="143"/>
      <c r="I589" s="7"/>
      <c r="J589" s="7"/>
      <c r="K589" s="7"/>
      <c r="L589" s="7"/>
      <c r="M589" s="7"/>
      <c r="N589" s="7"/>
      <c r="O589" s="7"/>
      <c r="P589" s="7"/>
      <c r="Q589" s="7"/>
      <c r="R589" s="7"/>
      <c r="S589" s="7"/>
      <c r="T589" s="7"/>
      <c r="U589" s="7"/>
      <c r="V589" s="7"/>
      <c r="W589" s="7"/>
    </row>
    <row r="590" spans="1:23">
      <c r="A590" s="7"/>
      <c r="B590" s="8"/>
      <c r="C590" s="8"/>
      <c r="D590" s="7"/>
      <c r="E590" s="7"/>
      <c r="F590" s="7"/>
      <c r="G590" s="7"/>
      <c r="H590" s="143"/>
      <c r="I590" s="7"/>
      <c r="J590" s="7"/>
      <c r="K590" s="7"/>
      <c r="L590" s="7"/>
      <c r="M590" s="7"/>
      <c r="N590" s="7"/>
      <c r="O590" s="7"/>
      <c r="P590" s="7"/>
      <c r="Q590" s="7"/>
      <c r="R590" s="7"/>
      <c r="S590" s="7"/>
      <c r="T590" s="7"/>
      <c r="U590" s="7"/>
      <c r="V590" s="7"/>
      <c r="W590" s="7"/>
    </row>
    <row r="591" spans="1:23">
      <c r="A591" s="7"/>
      <c r="B591" s="8"/>
      <c r="C591" s="8"/>
      <c r="D591" s="7"/>
      <c r="E591" s="7"/>
      <c r="F591" s="7"/>
      <c r="G591" s="7"/>
      <c r="H591" s="143"/>
      <c r="I591" s="7"/>
      <c r="J591" s="7"/>
      <c r="K591" s="7"/>
      <c r="L591" s="7"/>
      <c r="M591" s="7"/>
      <c r="N591" s="7"/>
      <c r="O591" s="7"/>
      <c r="P591" s="7"/>
      <c r="Q591" s="7"/>
      <c r="R591" s="7"/>
      <c r="S591" s="7"/>
      <c r="T591" s="7"/>
      <c r="U591" s="7"/>
      <c r="V591" s="7"/>
      <c r="W591" s="7"/>
    </row>
    <row r="592" spans="1:23">
      <c r="A592" s="7"/>
      <c r="B592" s="8"/>
      <c r="C592" s="8"/>
      <c r="D592" s="7"/>
      <c r="E592" s="7"/>
      <c r="F592" s="7"/>
      <c r="G592" s="7"/>
      <c r="H592" s="143"/>
      <c r="I592" s="7"/>
      <c r="J592" s="7"/>
      <c r="K592" s="7"/>
      <c r="L592" s="7"/>
      <c r="M592" s="7"/>
      <c r="N592" s="7"/>
      <c r="O592" s="7"/>
      <c r="P592" s="7"/>
      <c r="Q592" s="7"/>
      <c r="R592" s="7"/>
      <c r="S592" s="7"/>
      <c r="T592" s="7"/>
      <c r="U592" s="7"/>
      <c r="V592" s="7"/>
      <c r="W592" s="7"/>
    </row>
    <row r="593" spans="1:23">
      <c r="A593" s="7"/>
      <c r="B593" s="8"/>
      <c r="C593" s="8"/>
      <c r="D593" s="7"/>
      <c r="E593" s="7"/>
      <c r="F593" s="7"/>
      <c r="G593" s="7"/>
      <c r="H593" s="143"/>
      <c r="I593" s="7"/>
      <c r="J593" s="7"/>
      <c r="K593" s="7"/>
      <c r="L593" s="7"/>
      <c r="M593" s="7"/>
      <c r="N593" s="7"/>
      <c r="O593" s="7"/>
      <c r="P593" s="7"/>
      <c r="Q593" s="7"/>
      <c r="R593" s="7"/>
      <c r="S593" s="7"/>
      <c r="T593" s="7"/>
      <c r="U593" s="7"/>
      <c r="V593" s="7"/>
      <c r="W593" s="7"/>
    </row>
    <row r="594" spans="1:23">
      <c r="A594" s="7"/>
      <c r="B594" s="8"/>
      <c r="C594" s="8"/>
      <c r="D594" s="7"/>
      <c r="E594" s="7"/>
      <c r="F594" s="7"/>
      <c r="G594" s="7"/>
      <c r="H594" s="143"/>
      <c r="I594" s="7"/>
      <c r="J594" s="7"/>
      <c r="K594" s="7"/>
      <c r="L594" s="7"/>
      <c r="M594" s="7"/>
      <c r="N594" s="7"/>
      <c r="O594" s="7"/>
      <c r="P594" s="7"/>
      <c r="Q594" s="7"/>
      <c r="R594" s="7"/>
      <c r="S594" s="7"/>
      <c r="T594" s="7"/>
      <c r="U594" s="7"/>
      <c r="V594" s="7"/>
      <c r="W594" s="7"/>
    </row>
    <row r="595" spans="1:23">
      <c r="A595" s="7"/>
      <c r="B595" s="8"/>
      <c r="C595" s="8"/>
      <c r="D595" s="7"/>
      <c r="E595" s="7"/>
      <c r="F595" s="7"/>
      <c r="G595" s="7"/>
      <c r="H595" s="143"/>
      <c r="I595" s="7"/>
      <c r="J595" s="7"/>
      <c r="K595" s="7"/>
      <c r="L595" s="7"/>
      <c r="M595" s="7"/>
      <c r="N595" s="7"/>
      <c r="O595" s="7"/>
      <c r="P595" s="7"/>
      <c r="Q595" s="7"/>
      <c r="R595" s="7"/>
      <c r="S595" s="7"/>
      <c r="T595" s="7"/>
      <c r="U595" s="7"/>
      <c r="V595" s="7"/>
      <c r="W595" s="7"/>
    </row>
    <row r="596" spans="1:23">
      <c r="A596" s="7"/>
      <c r="B596" s="8"/>
      <c r="C596" s="8"/>
      <c r="D596" s="7"/>
      <c r="E596" s="7"/>
      <c r="F596" s="7"/>
      <c r="G596" s="7"/>
      <c r="H596" s="143"/>
      <c r="I596" s="7"/>
      <c r="J596" s="7"/>
      <c r="K596" s="7"/>
      <c r="L596" s="7"/>
      <c r="M596" s="7"/>
      <c r="N596" s="7"/>
      <c r="O596" s="7"/>
      <c r="P596" s="7"/>
      <c r="Q596" s="7"/>
      <c r="R596" s="7"/>
      <c r="S596" s="7"/>
      <c r="T596" s="7"/>
      <c r="U596" s="7"/>
      <c r="V596" s="7"/>
      <c r="W596" s="7"/>
    </row>
    <row r="597" spans="1:23">
      <c r="A597" s="7"/>
      <c r="B597" s="8"/>
      <c r="C597" s="8"/>
      <c r="D597" s="7"/>
      <c r="E597" s="7"/>
      <c r="F597" s="7"/>
      <c r="G597" s="7"/>
      <c r="H597" s="143"/>
      <c r="I597" s="7"/>
      <c r="J597" s="7"/>
      <c r="K597" s="7"/>
      <c r="L597" s="7"/>
      <c r="M597" s="7"/>
      <c r="N597" s="7"/>
      <c r="O597" s="7"/>
      <c r="P597" s="7"/>
      <c r="Q597" s="7"/>
      <c r="R597" s="7"/>
      <c r="S597" s="7"/>
      <c r="T597" s="7"/>
      <c r="U597" s="7"/>
      <c r="V597" s="7"/>
      <c r="W597" s="7"/>
    </row>
    <row r="598" spans="1:23">
      <c r="A598" s="7"/>
      <c r="B598" s="8"/>
      <c r="C598" s="8"/>
      <c r="D598" s="7"/>
      <c r="E598" s="7"/>
      <c r="F598" s="7"/>
      <c r="G598" s="7"/>
      <c r="H598" s="143"/>
      <c r="I598" s="7"/>
      <c r="J598" s="7"/>
      <c r="K598" s="7"/>
      <c r="L598" s="7"/>
      <c r="M598" s="7"/>
      <c r="N598" s="7"/>
      <c r="O598" s="7"/>
      <c r="P598" s="7"/>
      <c r="Q598" s="7"/>
      <c r="R598" s="7"/>
      <c r="S598" s="7"/>
      <c r="T598" s="7"/>
      <c r="U598" s="7"/>
      <c r="V598" s="7"/>
      <c r="W598" s="7"/>
    </row>
    <row r="599" spans="1:23">
      <c r="A599" s="7"/>
      <c r="B599" s="8"/>
      <c r="C599" s="8"/>
      <c r="D599" s="7"/>
      <c r="E599" s="7"/>
      <c r="F599" s="7"/>
      <c r="G599" s="7"/>
      <c r="H599" s="143"/>
      <c r="I599" s="7"/>
      <c r="J599" s="7"/>
      <c r="K599" s="7"/>
      <c r="L599" s="7"/>
      <c r="M599" s="7"/>
      <c r="N599" s="7"/>
      <c r="O599" s="7"/>
      <c r="P599" s="7"/>
      <c r="Q599" s="7"/>
      <c r="R599" s="7"/>
      <c r="S599" s="7"/>
      <c r="T599" s="7"/>
      <c r="U599" s="7"/>
      <c r="V599" s="7"/>
      <c r="W599" s="7"/>
    </row>
    <row r="600" spans="1:23">
      <c r="A600" s="7"/>
      <c r="B600" s="8"/>
      <c r="C600" s="8"/>
      <c r="D600" s="7"/>
      <c r="E600" s="7"/>
      <c r="F600" s="7"/>
      <c r="G600" s="7"/>
      <c r="H600" s="143"/>
      <c r="I600" s="7"/>
      <c r="J600" s="7"/>
      <c r="K600" s="7"/>
      <c r="L600" s="7"/>
      <c r="M600" s="7"/>
      <c r="N600" s="7"/>
      <c r="O600" s="7"/>
      <c r="P600" s="7"/>
      <c r="Q600" s="7"/>
      <c r="R600" s="7"/>
      <c r="S600" s="7"/>
      <c r="T600" s="7"/>
      <c r="U600" s="7"/>
      <c r="V600" s="7"/>
      <c r="W600" s="7"/>
    </row>
    <row r="601" spans="1:23">
      <c r="A601" s="7"/>
      <c r="B601" s="8"/>
      <c r="C601" s="8"/>
      <c r="D601" s="7"/>
      <c r="E601" s="7"/>
      <c r="F601" s="7"/>
      <c r="G601" s="7"/>
      <c r="H601" s="143"/>
      <c r="I601" s="7"/>
      <c r="J601" s="7"/>
      <c r="K601" s="7"/>
      <c r="L601" s="7"/>
      <c r="M601" s="7"/>
      <c r="N601" s="7"/>
      <c r="O601" s="7"/>
      <c r="P601" s="7"/>
      <c r="Q601" s="7"/>
      <c r="R601" s="7"/>
      <c r="S601" s="7"/>
      <c r="T601" s="7"/>
      <c r="U601" s="7"/>
      <c r="V601" s="7"/>
      <c r="W601" s="7"/>
    </row>
    <row r="602" spans="1:23">
      <c r="A602" s="7"/>
      <c r="B602" s="8"/>
      <c r="C602" s="8"/>
      <c r="D602" s="7"/>
      <c r="E602" s="7"/>
      <c r="F602" s="7"/>
      <c r="G602" s="7"/>
      <c r="H602" s="143"/>
      <c r="I602" s="7"/>
      <c r="J602" s="7"/>
      <c r="K602" s="7"/>
      <c r="L602" s="7"/>
      <c r="M602" s="7"/>
      <c r="N602" s="7"/>
      <c r="O602" s="7"/>
      <c r="P602" s="7"/>
      <c r="Q602" s="7"/>
      <c r="R602" s="7"/>
      <c r="S602" s="7"/>
      <c r="T602" s="7"/>
      <c r="U602" s="7"/>
      <c r="V602" s="7"/>
      <c r="W602" s="7"/>
    </row>
    <row r="603" spans="1:23">
      <c r="A603" s="7"/>
      <c r="B603" s="8"/>
      <c r="C603" s="8"/>
      <c r="D603" s="7"/>
      <c r="E603" s="7"/>
      <c r="F603" s="7"/>
      <c r="G603" s="7"/>
      <c r="H603" s="143"/>
      <c r="I603" s="7"/>
      <c r="J603" s="7"/>
      <c r="K603" s="7"/>
      <c r="L603" s="7"/>
      <c r="M603" s="7"/>
      <c r="N603" s="7"/>
      <c r="O603" s="7"/>
      <c r="P603" s="7"/>
      <c r="Q603" s="7"/>
      <c r="R603" s="7"/>
      <c r="S603" s="7"/>
      <c r="T603" s="7"/>
      <c r="U603" s="7"/>
      <c r="V603" s="7"/>
      <c r="W603" s="7"/>
    </row>
    <row r="604" spans="1:23">
      <c r="A604" s="7"/>
      <c r="B604" s="8"/>
      <c r="C604" s="8"/>
      <c r="D604" s="7"/>
      <c r="E604" s="7"/>
      <c r="F604" s="7"/>
      <c r="G604" s="7"/>
      <c r="H604" s="143"/>
      <c r="I604" s="7"/>
      <c r="J604" s="7"/>
      <c r="K604" s="7"/>
      <c r="L604" s="7"/>
      <c r="M604" s="7"/>
      <c r="N604" s="7"/>
      <c r="O604" s="7"/>
      <c r="P604" s="7"/>
      <c r="Q604" s="7"/>
      <c r="R604" s="7"/>
      <c r="S604" s="7"/>
      <c r="T604" s="7"/>
      <c r="U604" s="7"/>
      <c r="V604" s="7"/>
      <c r="W604" s="7"/>
    </row>
    <row r="605" spans="1:23">
      <c r="A605" s="7"/>
      <c r="B605" s="8"/>
      <c r="C605" s="8"/>
      <c r="D605" s="7"/>
      <c r="E605" s="7"/>
      <c r="F605" s="7"/>
      <c r="G605" s="7"/>
      <c r="H605" s="143"/>
      <c r="I605" s="7"/>
      <c r="J605" s="7"/>
      <c r="K605" s="7"/>
      <c r="L605" s="7"/>
      <c r="M605" s="7"/>
      <c r="N605" s="7"/>
      <c r="O605" s="7"/>
      <c r="P605" s="7"/>
      <c r="Q605" s="7"/>
      <c r="R605" s="7"/>
      <c r="S605" s="7"/>
      <c r="T605" s="7"/>
      <c r="U605" s="7"/>
      <c r="V605" s="7"/>
      <c r="W605" s="7"/>
    </row>
    <row r="606" spans="1:23">
      <c r="A606" s="7"/>
      <c r="B606" s="8"/>
      <c r="C606" s="8"/>
      <c r="D606" s="7"/>
      <c r="E606" s="7"/>
      <c r="F606" s="7"/>
      <c r="G606" s="7"/>
      <c r="H606" s="143"/>
      <c r="I606" s="7"/>
      <c r="J606" s="7"/>
      <c r="K606" s="7"/>
      <c r="L606" s="7"/>
      <c r="M606" s="7"/>
      <c r="N606" s="7"/>
      <c r="O606" s="7"/>
      <c r="P606" s="7"/>
      <c r="Q606" s="7"/>
      <c r="R606" s="7"/>
      <c r="S606" s="7"/>
      <c r="T606" s="7"/>
      <c r="U606" s="7"/>
      <c r="V606" s="7"/>
      <c r="W606" s="7"/>
    </row>
    <row r="607" spans="1:23">
      <c r="A607" s="7"/>
      <c r="B607" s="8"/>
      <c r="C607" s="8"/>
      <c r="D607" s="7"/>
      <c r="E607" s="7"/>
      <c r="F607" s="7"/>
      <c r="G607" s="7"/>
      <c r="H607" s="143"/>
      <c r="I607" s="7"/>
      <c r="J607" s="7"/>
      <c r="K607" s="7"/>
      <c r="L607" s="7"/>
      <c r="M607" s="7"/>
      <c r="N607" s="7"/>
      <c r="O607" s="7"/>
      <c r="P607" s="7"/>
      <c r="Q607" s="7"/>
      <c r="R607" s="7"/>
      <c r="S607" s="7"/>
      <c r="T607" s="7"/>
      <c r="U607" s="7"/>
      <c r="V607" s="7"/>
      <c r="W607" s="7"/>
    </row>
    <row r="608" spans="1:23">
      <c r="A608" s="7"/>
      <c r="B608" s="8"/>
      <c r="C608" s="8"/>
      <c r="D608" s="7"/>
      <c r="E608" s="7"/>
      <c r="F608" s="7"/>
      <c r="G608" s="7"/>
      <c r="H608" s="143"/>
      <c r="I608" s="7"/>
      <c r="J608" s="7"/>
      <c r="K608" s="7"/>
      <c r="L608" s="7"/>
      <c r="M608" s="7"/>
      <c r="N608" s="7"/>
      <c r="O608" s="7"/>
      <c r="P608" s="7"/>
      <c r="Q608" s="7"/>
      <c r="R608" s="7"/>
      <c r="S608" s="7"/>
      <c r="T608" s="7"/>
      <c r="U608" s="7"/>
      <c r="V608" s="7"/>
      <c r="W608" s="7"/>
    </row>
    <row r="609" spans="1:23">
      <c r="A609" s="7"/>
      <c r="B609" s="8"/>
      <c r="C609" s="8"/>
      <c r="D609" s="7"/>
      <c r="E609" s="7"/>
      <c r="F609" s="7"/>
      <c r="G609" s="7"/>
      <c r="H609" s="143"/>
      <c r="I609" s="7"/>
      <c r="J609" s="7"/>
      <c r="K609" s="7"/>
      <c r="L609" s="7"/>
      <c r="M609" s="7"/>
      <c r="N609" s="7"/>
      <c r="O609" s="7"/>
      <c r="P609" s="7"/>
      <c r="Q609" s="7"/>
      <c r="R609" s="7"/>
      <c r="S609" s="7"/>
      <c r="T609" s="7"/>
      <c r="U609" s="7"/>
      <c r="V609" s="7"/>
      <c r="W609" s="7"/>
    </row>
    <row r="610" spans="1:23">
      <c r="A610" s="7"/>
      <c r="B610" s="8"/>
      <c r="C610" s="8"/>
      <c r="D610" s="7"/>
      <c r="E610" s="7"/>
      <c r="F610" s="7"/>
      <c r="G610" s="7"/>
      <c r="H610" s="143"/>
      <c r="I610" s="7"/>
      <c r="J610" s="7"/>
      <c r="K610" s="7"/>
      <c r="L610" s="7"/>
      <c r="M610" s="7"/>
      <c r="N610" s="7"/>
      <c r="O610" s="7"/>
      <c r="P610" s="7"/>
      <c r="Q610" s="7"/>
      <c r="R610" s="7"/>
      <c r="S610" s="7"/>
      <c r="T610" s="7"/>
      <c r="U610" s="7"/>
      <c r="V610" s="7"/>
      <c r="W610" s="7"/>
    </row>
    <row r="611" spans="1:23">
      <c r="A611" s="7"/>
      <c r="B611" s="8"/>
      <c r="C611" s="8"/>
      <c r="D611" s="7"/>
      <c r="E611" s="7"/>
      <c r="F611" s="7"/>
      <c r="G611" s="7"/>
      <c r="H611" s="143"/>
      <c r="I611" s="7"/>
      <c r="J611" s="7"/>
      <c r="K611" s="7"/>
      <c r="L611" s="7"/>
      <c r="M611" s="7"/>
      <c r="N611" s="7"/>
      <c r="O611" s="7"/>
      <c r="P611" s="7"/>
      <c r="Q611" s="7"/>
      <c r="R611" s="7"/>
      <c r="S611" s="7"/>
      <c r="T611" s="7"/>
      <c r="U611" s="7"/>
      <c r="V611" s="7"/>
      <c r="W611" s="7"/>
    </row>
    <row r="612" spans="1:23">
      <c r="A612" s="7"/>
      <c r="B612" s="8"/>
      <c r="C612" s="8"/>
      <c r="D612" s="7"/>
      <c r="E612" s="7"/>
      <c r="F612" s="7"/>
      <c r="G612" s="7"/>
      <c r="H612" s="143"/>
      <c r="I612" s="7"/>
      <c r="J612" s="7"/>
      <c r="K612" s="7"/>
      <c r="L612" s="7"/>
      <c r="M612" s="7"/>
      <c r="N612" s="7"/>
      <c r="O612" s="7"/>
      <c r="P612" s="7"/>
      <c r="Q612" s="7"/>
      <c r="R612" s="7"/>
      <c r="S612" s="7"/>
      <c r="T612" s="7"/>
      <c r="U612" s="7"/>
      <c r="V612" s="7"/>
      <c r="W612" s="7"/>
    </row>
    <row r="613" spans="1:23">
      <c r="A613" s="7"/>
      <c r="B613" s="8"/>
      <c r="C613" s="8"/>
      <c r="D613" s="7"/>
      <c r="E613" s="7"/>
      <c r="F613" s="7"/>
      <c r="G613" s="7"/>
      <c r="H613" s="143"/>
      <c r="I613" s="7"/>
      <c r="J613" s="7"/>
      <c r="K613" s="7"/>
      <c r="L613" s="7"/>
      <c r="M613" s="7"/>
      <c r="N613" s="7"/>
      <c r="O613" s="7"/>
      <c r="P613" s="7"/>
      <c r="Q613" s="7"/>
      <c r="R613" s="7"/>
      <c r="S613" s="7"/>
      <c r="T613" s="7"/>
      <c r="U613" s="7"/>
      <c r="V613" s="7"/>
      <c r="W613" s="7"/>
    </row>
    <row r="614" spans="1:23">
      <c r="A614" s="7"/>
      <c r="B614" s="8"/>
      <c r="C614" s="8"/>
      <c r="D614" s="7"/>
      <c r="E614" s="7"/>
      <c r="F614" s="7"/>
      <c r="G614" s="7"/>
      <c r="H614" s="143"/>
      <c r="I614" s="7"/>
      <c r="J614" s="7"/>
      <c r="K614" s="7"/>
      <c r="L614" s="7"/>
      <c r="M614" s="7"/>
      <c r="N614" s="7"/>
      <c r="O614" s="7"/>
      <c r="P614" s="7"/>
      <c r="Q614" s="7"/>
      <c r="R614" s="7"/>
      <c r="S614" s="7"/>
      <c r="T614" s="7"/>
      <c r="U614" s="7"/>
      <c r="V614" s="7"/>
      <c r="W614" s="7"/>
    </row>
    <row r="615" spans="1:23">
      <c r="A615" s="7"/>
      <c r="B615" s="8"/>
      <c r="C615" s="8"/>
      <c r="D615" s="7"/>
      <c r="E615" s="7"/>
      <c r="F615" s="7"/>
      <c r="G615" s="7"/>
      <c r="H615" s="143"/>
      <c r="I615" s="7"/>
      <c r="J615" s="7"/>
      <c r="K615" s="7"/>
      <c r="L615" s="7"/>
      <c r="M615" s="7"/>
      <c r="N615" s="7"/>
      <c r="O615" s="7"/>
      <c r="P615" s="7"/>
      <c r="Q615" s="7"/>
      <c r="R615" s="7"/>
      <c r="S615" s="7"/>
      <c r="T615" s="7"/>
      <c r="U615" s="7"/>
      <c r="V615" s="7"/>
      <c r="W615" s="7"/>
    </row>
    <row r="616" spans="1:23">
      <c r="A616" s="7"/>
      <c r="B616" s="8"/>
      <c r="C616" s="8"/>
      <c r="D616" s="7"/>
      <c r="E616" s="7"/>
      <c r="F616" s="7"/>
      <c r="G616" s="7"/>
      <c r="H616" s="143"/>
      <c r="I616" s="7"/>
      <c r="J616" s="7"/>
      <c r="K616" s="7"/>
      <c r="L616" s="7"/>
      <c r="M616" s="7"/>
      <c r="N616" s="7"/>
      <c r="O616" s="7"/>
      <c r="P616" s="7"/>
      <c r="Q616" s="7"/>
      <c r="R616" s="7"/>
      <c r="S616" s="7"/>
      <c r="T616" s="7"/>
      <c r="U616" s="7"/>
      <c r="V616" s="7"/>
      <c r="W616" s="7"/>
    </row>
    <row r="617" spans="1:23">
      <c r="A617" s="7"/>
      <c r="B617" s="8"/>
      <c r="C617" s="8"/>
      <c r="D617" s="7"/>
      <c r="E617" s="7"/>
      <c r="F617" s="7"/>
      <c r="G617" s="7"/>
      <c r="H617" s="143"/>
      <c r="I617" s="7"/>
      <c r="J617" s="7"/>
      <c r="K617" s="7"/>
      <c r="L617" s="7"/>
      <c r="M617" s="7"/>
      <c r="N617" s="7"/>
      <c r="O617" s="7"/>
      <c r="P617" s="7"/>
      <c r="Q617" s="7"/>
      <c r="R617" s="7"/>
      <c r="S617" s="7"/>
      <c r="T617" s="7"/>
      <c r="U617" s="7"/>
      <c r="V617" s="7"/>
      <c r="W617" s="7"/>
    </row>
    <row r="618" spans="1:23">
      <c r="A618" s="7"/>
      <c r="B618" s="8"/>
      <c r="C618" s="8"/>
      <c r="D618" s="7"/>
      <c r="E618" s="7"/>
      <c r="F618" s="7"/>
      <c r="G618" s="7"/>
      <c r="H618" s="143"/>
      <c r="I618" s="7"/>
      <c r="J618" s="7"/>
      <c r="K618" s="7"/>
      <c r="L618" s="7"/>
      <c r="M618" s="7"/>
      <c r="N618" s="7"/>
      <c r="O618" s="7"/>
      <c r="P618" s="7"/>
      <c r="Q618" s="7"/>
      <c r="R618" s="7"/>
      <c r="S618" s="7"/>
      <c r="T618" s="7"/>
      <c r="U618" s="7"/>
      <c r="V618" s="7"/>
      <c r="W618" s="7"/>
    </row>
    <row r="619" spans="1:23">
      <c r="A619" s="7"/>
      <c r="B619" s="8"/>
      <c r="C619" s="8"/>
      <c r="D619" s="7"/>
      <c r="E619" s="7"/>
      <c r="F619" s="7"/>
      <c r="G619" s="7"/>
      <c r="H619" s="143"/>
      <c r="I619" s="7"/>
      <c r="J619" s="7"/>
      <c r="K619" s="7"/>
      <c r="L619" s="7"/>
      <c r="M619" s="7"/>
      <c r="N619" s="7"/>
      <c r="O619" s="7"/>
      <c r="P619" s="7"/>
      <c r="Q619" s="7"/>
      <c r="R619" s="7"/>
      <c r="S619" s="7"/>
      <c r="T619" s="7"/>
      <c r="U619" s="7"/>
      <c r="V619" s="7"/>
      <c r="W619" s="7"/>
    </row>
    <row r="620" spans="1:23">
      <c r="A620" s="7"/>
      <c r="B620" s="8"/>
      <c r="C620" s="8"/>
      <c r="D620" s="7"/>
      <c r="E620" s="7"/>
      <c r="F620" s="7"/>
      <c r="G620" s="7"/>
      <c r="H620" s="143"/>
      <c r="I620" s="7"/>
      <c r="J620" s="7"/>
      <c r="K620" s="7"/>
      <c r="L620" s="7"/>
      <c r="M620" s="7"/>
      <c r="N620" s="7"/>
      <c r="O620" s="7"/>
      <c r="P620" s="7"/>
      <c r="Q620" s="7"/>
      <c r="R620" s="7"/>
      <c r="S620" s="7"/>
      <c r="T620" s="7"/>
      <c r="U620" s="7"/>
      <c r="V620" s="7"/>
      <c r="W620" s="7"/>
    </row>
    <row r="621" spans="1:23">
      <c r="A621" s="7"/>
      <c r="B621" s="8"/>
      <c r="C621" s="8"/>
      <c r="D621" s="7"/>
      <c r="E621" s="7"/>
      <c r="F621" s="7"/>
      <c r="G621" s="7"/>
      <c r="H621" s="143"/>
      <c r="I621" s="7"/>
      <c r="J621" s="7"/>
      <c r="K621" s="7"/>
      <c r="L621" s="7"/>
      <c r="M621" s="7"/>
      <c r="N621" s="7"/>
      <c r="O621" s="7"/>
      <c r="P621" s="7"/>
      <c r="Q621" s="7"/>
      <c r="R621" s="7"/>
      <c r="S621" s="7"/>
      <c r="T621" s="7"/>
      <c r="U621" s="7"/>
      <c r="V621" s="7"/>
      <c r="W621" s="7"/>
    </row>
    <row r="622" spans="1:23">
      <c r="A622" s="7"/>
      <c r="B622" s="8"/>
      <c r="C622" s="8"/>
      <c r="D622" s="7"/>
      <c r="E622" s="7"/>
      <c r="F622" s="7"/>
      <c r="G622" s="7"/>
      <c r="H622" s="143"/>
      <c r="I622" s="7"/>
      <c r="J622" s="7"/>
      <c r="K622" s="7"/>
      <c r="L622" s="7"/>
      <c r="M622" s="7"/>
      <c r="N622" s="7"/>
      <c r="O622" s="7"/>
      <c r="P622" s="7"/>
      <c r="Q622" s="7"/>
      <c r="R622" s="7"/>
      <c r="S622" s="7"/>
      <c r="T622" s="7"/>
      <c r="U622" s="7"/>
      <c r="V622" s="7"/>
      <c r="W622" s="7"/>
    </row>
    <row r="623" spans="1:23">
      <c r="A623" s="7"/>
      <c r="B623" s="8"/>
      <c r="C623" s="8"/>
      <c r="D623" s="7"/>
      <c r="E623" s="7"/>
      <c r="F623" s="7"/>
      <c r="G623" s="7"/>
      <c r="H623" s="143"/>
      <c r="I623" s="7"/>
      <c r="J623" s="7"/>
      <c r="K623" s="7"/>
      <c r="L623" s="7"/>
      <c r="M623" s="7"/>
      <c r="N623" s="7"/>
      <c r="O623" s="7"/>
      <c r="P623" s="7"/>
      <c r="Q623" s="7"/>
      <c r="R623" s="7"/>
      <c r="S623" s="7"/>
      <c r="T623" s="7"/>
      <c r="U623" s="7"/>
      <c r="V623" s="7"/>
      <c r="W623" s="7"/>
    </row>
    <row r="624" spans="1:23">
      <c r="A624" s="7"/>
      <c r="B624" s="8"/>
      <c r="C624" s="8"/>
      <c r="D624" s="7"/>
      <c r="E624" s="7"/>
      <c r="F624" s="7"/>
      <c r="G624" s="7"/>
      <c r="H624" s="143"/>
      <c r="I624" s="7"/>
      <c r="J624" s="7"/>
      <c r="K624" s="7"/>
      <c r="L624" s="7"/>
      <c r="M624" s="7"/>
      <c r="N624" s="7"/>
      <c r="O624" s="7"/>
      <c r="P624" s="7"/>
      <c r="Q624" s="7"/>
      <c r="R624" s="7"/>
      <c r="S624" s="7"/>
      <c r="T624" s="7"/>
      <c r="U624" s="7"/>
      <c r="V624" s="7"/>
      <c r="W624" s="7"/>
    </row>
    <row r="625" spans="1:23">
      <c r="A625" s="7"/>
      <c r="B625" s="8"/>
      <c r="C625" s="8"/>
      <c r="D625" s="7"/>
      <c r="E625" s="7"/>
      <c r="F625" s="7"/>
      <c r="G625" s="7"/>
      <c r="H625" s="143"/>
      <c r="I625" s="7"/>
      <c r="J625" s="7"/>
      <c r="K625" s="7"/>
      <c r="L625" s="7"/>
      <c r="M625" s="7"/>
      <c r="N625" s="7"/>
      <c r="O625" s="7"/>
      <c r="P625" s="7"/>
      <c r="Q625" s="7"/>
      <c r="R625" s="7"/>
      <c r="S625" s="7"/>
      <c r="T625" s="7"/>
      <c r="U625" s="7"/>
      <c r="V625" s="7"/>
      <c r="W625" s="7"/>
    </row>
    <row r="626" spans="1:23">
      <c r="A626" s="7"/>
      <c r="B626" s="8"/>
      <c r="C626" s="8"/>
      <c r="D626" s="7"/>
      <c r="E626" s="7"/>
      <c r="F626" s="7"/>
      <c r="G626" s="7"/>
      <c r="H626" s="143"/>
      <c r="I626" s="7"/>
      <c r="J626" s="7"/>
      <c r="K626" s="7"/>
      <c r="L626" s="7"/>
      <c r="M626" s="7"/>
      <c r="N626" s="7"/>
      <c r="O626" s="7"/>
      <c r="P626" s="7"/>
      <c r="Q626" s="7"/>
      <c r="R626" s="7"/>
      <c r="S626" s="7"/>
      <c r="T626" s="7"/>
      <c r="U626" s="7"/>
      <c r="V626" s="7"/>
      <c r="W626" s="7"/>
    </row>
    <row r="627" spans="1:23">
      <c r="A627" s="7"/>
      <c r="B627" s="8"/>
      <c r="C627" s="8"/>
      <c r="D627" s="7"/>
      <c r="E627" s="7"/>
      <c r="F627" s="7"/>
      <c r="G627" s="7"/>
      <c r="H627" s="143"/>
      <c r="I627" s="7"/>
      <c r="J627" s="7"/>
      <c r="K627" s="7"/>
      <c r="L627" s="7"/>
      <c r="M627" s="7"/>
      <c r="N627" s="7"/>
      <c r="O627" s="7"/>
      <c r="P627" s="7"/>
      <c r="Q627" s="7"/>
      <c r="R627" s="7"/>
      <c r="S627" s="7"/>
      <c r="T627" s="7"/>
      <c r="U627" s="7"/>
      <c r="V627" s="7"/>
      <c r="W627" s="7"/>
    </row>
    <row r="628" spans="1:23">
      <c r="A628" s="7"/>
      <c r="B628" s="8"/>
      <c r="C628" s="8"/>
      <c r="D628" s="7"/>
      <c r="E628" s="7"/>
      <c r="F628" s="7"/>
      <c r="G628" s="7"/>
      <c r="H628" s="143"/>
      <c r="I628" s="7"/>
      <c r="J628" s="7"/>
      <c r="K628" s="7"/>
      <c r="L628" s="7"/>
      <c r="M628" s="7"/>
      <c r="N628" s="7"/>
      <c r="O628" s="7"/>
      <c r="P628" s="7"/>
      <c r="Q628" s="7"/>
      <c r="R628" s="7"/>
      <c r="S628" s="7"/>
      <c r="T628" s="7"/>
      <c r="U628" s="7"/>
      <c r="V628" s="7"/>
      <c r="W628" s="7"/>
    </row>
    <row r="629" spans="1:23">
      <c r="A629" s="7"/>
      <c r="B629" s="8"/>
      <c r="C629" s="8"/>
      <c r="D629" s="7"/>
      <c r="E629" s="7"/>
      <c r="F629" s="7"/>
      <c r="G629" s="7"/>
      <c r="H629" s="143"/>
      <c r="I629" s="7"/>
      <c r="J629" s="7"/>
      <c r="K629" s="7"/>
      <c r="L629" s="7"/>
      <c r="M629" s="7"/>
      <c r="N629" s="7"/>
      <c r="O629" s="7"/>
      <c r="P629" s="7"/>
      <c r="Q629" s="7"/>
      <c r="R629" s="7"/>
      <c r="S629" s="7"/>
      <c r="T629" s="7"/>
      <c r="U629" s="7"/>
      <c r="V629" s="7"/>
      <c r="W629" s="7"/>
    </row>
    <row r="630" spans="1:23">
      <c r="A630" s="7"/>
      <c r="B630" s="8"/>
      <c r="C630" s="8"/>
      <c r="D630" s="7"/>
      <c r="E630" s="7"/>
      <c r="F630" s="7"/>
      <c r="G630" s="7"/>
      <c r="H630" s="143"/>
      <c r="I630" s="7"/>
      <c r="J630" s="7"/>
      <c r="K630" s="7"/>
      <c r="L630" s="7"/>
      <c r="M630" s="7"/>
      <c r="N630" s="7"/>
      <c r="O630" s="7"/>
      <c r="P630" s="7"/>
      <c r="Q630" s="7"/>
      <c r="R630" s="7"/>
      <c r="S630" s="7"/>
      <c r="T630" s="7"/>
      <c r="U630" s="7"/>
      <c r="V630" s="7"/>
      <c r="W630" s="7"/>
    </row>
    <row r="631" spans="1:23">
      <c r="A631" s="7"/>
      <c r="B631" s="8"/>
      <c r="C631" s="8"/>
      <c r="D631" s="7"/>
      <c r="E631" s="7"/>
      <c r="F631" s="7"/>
      <c r="G631" s="7"/>
      <c r="H631" s="143"/>
      <c r="I631" s="7"/>
      <c r="J631" s="7"/>
      <c r="K631" s="7"/>
      <c r="L631" s="7"/>
      <c r="M631" s="7"/>
      <c r="N631" s="7"/>
      <c r="O631" s="7"/>
      <c r="P631" s="7"/>
      <c r="Q631" s="7"/>
      <c r="R631" s="7"/>
      <c r="S631" s="7"/>
      <c r="T631" s="7"/>
      <c r="U631" s="7"/>
      <c r="V631" s="7"/>
      <c r="W631" s="7"/>
    </row>
    <row r="632" spans="1:23">
      <c r="A632" s="7"/>
      <c r="B632" s="8"/>
      <c r="C632" s="8"/>
      <c r="D632" s="7"/>
      <c r="E632" s="7"/>
      <c r="F632" s="7"/>
      <c r="G632" s="7"/>
      <c r="H632" s="143"/>
      <c r="I632" s="7"/>
      <c r="J632" s="7"/>
      <c r="K632" s="7"/>
      <c r="L632" s="7"/>
      <c r="M632" s="7"/>
      <c r="N632" s="7"/>
      <c r="O632" s="7"/>
      <c r="P632" s="7"/>
      <c r="Q632" s="7"/>
      <c r="R632" s="7"/>
      <c r="S632" s="7"/>
      <c r="T632" s="7"/>
      <c r="U632" s="7"/>
      <c r="V632" s="7"/>
      <c r="W632" s="7"/>
    </row>
    <row r="633" spans="1:23">
      <c r="A633" s="7"/>
      <c r="B633" s="8"/>
      <c r="C633" s="8"/>
      <c r="D633" s="7"/>
      <c r="E633" s="7"/>
      <c r="F633" s="7"/>
      <c r="G633" s="7"/>
      <c r="H633" s="143"/>
      <c r="I633" s="7"/>
      <c r="J633" s="7"/>
      <c r="K633" s="7"/>
      <c r="L633" s="7"/>
      <c r="M633" s="7"/>
      <c r="N633" s="7"/>
      <c r="O633" s="7"/>
      <c r="P633" s="7"/>
      <c r="Q633" s="7"/>
      <c r="R633" s="7"/>
      <c r="S633" s="7"/>
      <c r="T633" s="7"/>
      <c r="U633" s="7"/>
      <c r="V633" s="7"/>
      <c r="W633" s="7"/>
    </row>
    <row r="634" spans="1:23">
      <c r="A634" s="7"/>
      <c r="B634" s="8"/>
      <c r="C634" s="8"/>
      <c r="D634" s="7"/>
      <c r="E634" s="7"/>
      <c r="F634" s="7"/>
      <c r="G634" s="7"/>
      <c r="H634" s="143"/>
      <c r="I634" s="7"/>
      <c r="J634" s="7"/>
      <c r="K634" s="7"/>
      <c r="L634" s="7"/>
      <c r="M634" s="7"/>
      <c r="N634" s="7"/>
      <c r="O634" s="7"/>
      <c r="P634" s="7"/>
      <c r="Q634" s="7"/>
      <c r="R634" s="7"/>
      <c r="S634" s="7"/>
      <c r="T634" s="7"/>
      <c r="U634" s="7"/>
      <c r="V634" s="7"/>
      <c r="W634" s="7"/>
    </row>
    <row r="635" spans="1:23">
      <c r="A635" s="7"/>
      <c r="B635" s="8"/>
      <c r="C635" s="8"/>
      <c r="D635" s="7"/>
      <c r="E635" s="7"/>
      <c r="F635" s="7"/>
      <c r="G635" s="7"/>
      <c r="H635" s="143"/>
      <c r="I635" s="7"/>
      <c r="J635" s="7"/>
      <c r="K635" s="7"/>
      <c r="L635" s="7"/>
      <c r="M635" s="7"/>
      <c r="N635" s="7"/>
      <c r="O635" s="7"/>
      <c r="P635" s="7"/>
      <c r="Q635" s="7"/>
      <c r="R635" s="7"/>
      <c r="S635" s="7"/>
      <c r="T635" s="7"/>
      <c r="U635" s="7"/>
      <c r="V635" s="7"/>
      <c r="W635" s="7"/>
    </row>
    <row r="636" spans="1:23">
      <c r="A636" s="7"/>
      <c r="B636" s="8"/>
      <c r="C636" s="8"/>
      <c r="D636" s="7"/>
      <c r="E636" s="7"/>
      <c r="F636" s="7"/>
      <c r="G636" s="7"/>
      <c r="H636" s="143"/>
      <c r="I636" s="7"/>
      <c r="J636" s="7"/>
      <c r="K636" s="7"/>
      <c r="L636" s="7"/>
      <c r="M636" s="7"/>
      <c r="N636" s="7"/>
      <c r="O636" s="7"/>
      <c r="P636" s="7"/>
      <c r="Q636" s="7"/>
      <c r="R636" s="7"/>
      <c r="S636" s="7"/>
      <c r="T636" s="7"/>
      <c r="U636" s="7"/>
      <c r="V636" s="7"/>
      <c r="W636" s="7"/>
    </row>
    <row r="637" spans="1:23">
      <c r="A637" s="7"/>
      <c r="B637" s="8"/>
      <c r="C637" s="8"/>
      <c r="D637" s="7"/>
      <c r="E637" s="7"/>
      <c r="F637" s="7"/>
      <c r="G637" s="7"/>
      <c r="H637" s="143"/>
      <c r="I637" s="7"/>
      <c r="J637" s="7"/>
      <c r="K637" s="7"/>
      <c r="L637" s="7"/>
      <c r="M637" s="7"/>
      <c r="N637" s="7"/>
      <c r="O637" s="7"/>
      <c r="P637" s="7"/>
      <c r="Q637" s="7"/>
      <c r="R637" s="7"/>
      <c r="S637" s="7"/>
      <c r="T637" s="7"/>
      <c r="U637" s="7"/>
      <c r="V637" s="7"/>
      <c r="W637" s="7"/>
    </row>
    <row r="638" spans="1:23">
      <c r="A638" s="7"/>
      <c r="B638" s="8"/>
      <c r="C638" s="8"/>
      <c r="D638" s="7"/>
      <c r="E638" s="7"/>
      <c r="F638" s="7"/>
      <c r="G638" s="7"/>
      <c r="H638" s="143"/>
      <c r="I638" s="7"/>
      <c r="J638" s="7"/>
      <c r="K638" s="7"/>
      <c r="L638" s="7"/>
      <c r="M638" s="7"/>
      <c r="N638" s="7"/>
      <c r="O638" s="7"/>
      <c r="P638" s="7"/>
      <c r="Q638" s="7"/>
      <c r="R638" s="7"/>
      <c r="S638" s="7"/>
      <c r="T638" s="7"/>
      <c r="U638" s="7"/>
      <c r="V638" s="7"/>
      <c r="W638" s="7"/>
    </row>
    <row r="639" spans="1:23">
      <c r="A639" s="7"/>
      <c r="B639" s="8"/>
      <c r="C639" s="8"/>
      <c r="D639" s="7"/>
      <c r="E639" s="7"/>
      <c r="F639" s="7"/>
      <c r="G639" s="7"/>
      <c r="H639" s="143"/>
      <c r="I639" s="7"/>
      <c r="J639" s="7"/>
      <c r="K639" s="7"/>
      <c r="L639" s="7"/>
      <c r="M639" s="7"/>
      <c r="N639" s="7"/>
      <c r="O639" s="7"/>
      <c r="P639" s="7"/>
      <c r="Q639" s="7"/>
      <c r="R639" s="7"/>
      <c r="S639" s="7"/>
      <c r="T639" s="7"/>
      <c r="U639" s="7"/>
      <c r="V639" s="7"/>
      <c r="W639" s="7"/>
    </row>
    <row r="640" spans="1:23">
      <c r="A640" s="7"/>
      <c r="B640" s="8"/>
      <c r="C640" s="8"/>
      <c r="D640" s="7"/>
      <c r="E640" s="7"/>
      <c r="F640" s="7"/>
      <c r="G640" s="7"/>
      <c r="H640" s="143"/>
      <c r="I640" s="7"/>
      <c r="J640" s="7"/>
      <c r="K640" s="7"/>
      <c r="L640" s="7"/>
      <c r="M640" s="7"/>
      <c r="N640" s="7"/>
      <c r="O640" s="7"/>
      <c r="P640" s="7"/>
      <c r="Q640" s="7"/>
      <c r="R640" s="7"/>
      <c r="S640" s="7"/>
      <c r="T640" s="7"/>
      <c r="U640" s="7"/>
      <c r="V640" s="7"/>
      <c r="W640" s="7"/>
    </row>
    <row r="641" spans="1:23">
      <c r="A641" s="7"/>
      <c r="B641" s="8"/>
      <c r="C641" s="8"/>
      <c r="D641" s="7"/>
      <c r="E641" s="7"/>
      <c r="F641" s="7"/>
      <c r="G641" s="7"/>
      <c r="H641" s="143"/>
      <c r="I641" s="7"/>
      <c r="J641" s="7"/>
      <c r="K641" s="7"/>
      <c r="L641" s="7"/>
      <c r="M641" s="7"/>
      <c r="N641" s="7"/>
      <c r="O641" s="7"/>
      <c r="P641" s="7"/>
      <c r="Q641" s="7"/>
      <c r="R641" s="7"/>
      <c r="S641" s="7"/>
      <c r="T641" s="7"/>
      <c r="U641" s="7"/>
      <c r="V641" s="7"/>
      <c r="W641" s="7"/>
    </row>
    <row r="642" spans="1:23">
      <c r="A642" s="7"/>
      <c r="B642" s="8"/>
      <c r="C642" s="8"/>
      <c r="D642" s="7"/>
      <c r="E642" s="7"/>
      <c r="F642" s="7"/>
      <c r="G642" s="7"/>
      <c r="H642" s="143"/>
      <c r="I642" s="7"/>
      <c r="J642" s="7"/>
      <c r="K642" s="7"/>
      <c r="L642" s="7"/>
      <c r="M642" s="7"/>
      <c r="N642" s="7"/>
      <c r="O642" s="7"/>
      <c r="P642" s="7"/>
      <c r="Q642" s="7"/>
      <c r="R642" s="7"/>
      <c r="S642" s="7"/>
      <c r="T642" s="7"/>
      <c r="U642" s="7"/>
      <c r="V642" s="7"/>
      <c r="W642" s="7"/>
    </row>
    <row r="643" spans="1:23">
      <c r="A643" s="7"/>
      <c r="B643" s="8"/>
      <c r="C643" s="8"/>
      <c r="D643" s="7"/>
      <c r="E643" s="7"/>
      <c r="F643" s="7"/>
      <c r="G643" s="7"/>
      <c r="H643" s="143"/>
      <c r="I643" s="7"/>
      <c r="J643" s="7"/>
      <c r="K643" s="7"/>
      <c r="L643" s="7"/>
      <c r="M643" s="7"/>
      <c r="N643" s="7"/>
      <c r="O643" s="7"/>
      <c r="P643" s="7"/>
      <c r="Q643" s="7"/>
      <c r="R643" s="7"/>
      <c r="S643" s="7"/>
      <c r="T643" s="7"/>
      <c r="U643" s="7"/>
      <c r="V643" s="7"/>
      <c r="W643" s="7"/>
    </row>
    <row r="644" spans="1:23">
      <c r="A644" s="7"/>
      <c r="B644" s="8"/>
      <c r="C644" s="8"/>
      <c r="D644" s="7"/>
      <c r="E644" s="7"/>
      <c r="F644" s="7"/>
      <c r="G644" s="7"/>
      <c r="H644" s="143"/>
      <c r="I644" s="7"/>
      <c r="J644" s="7"/>
      <c r="K644" s="7"/>
      <c r="L644" s="7"/>
      <c r="M644" s="7"/>
      <c r="N644" s="7"/>
      <c r="O644" s="7"/>
      <c r="P644" s="7"/>
      <c r="Q644" s="7"/>
      <c r="R644" s="7"/>
      <c r="S644" s="7"/>
      <c r="T644" s="7"/>
      <c r="U644" s="7"/>
      <c r="V644" s="7"/>
      <c r="W644" s="7"/>
    </row>
    <row r="645" spans="1:23">
      <c r="A645" s="7"/>
      <c r="B645" s="8"/>
      <c r="C645" s="8"/>
      <c r="D645" s="7"/>
      <c r="E645" s="7"/>
      <c r="F645" s="7"/>
      <c r="G645" s="7"/>
      <c r="H645" s="143"/>
      <c r="I645" s="7"/>
      <c r="J645" s="7"/>
      <c r="K645" s="7"/>
      <c r="L645" s="7"/>
      <c r="M645" s="7"/>
      <c r="N645" s="7"/>
      <c r="O645" s="7"/>
      <c r="P645" s="7"/>
      <c r="Q645" s="7"/>
      <c r="R645" s="7"/>
      <c r="S645" s="7"/>
      <c r="T645" s="7"/>
      <c r="U645" s="7"/>
      <c r="V645" s="7"/>
      <c r="W645" s="7"/>
    </row>
    <row r="646" spans="1:23">
      <c r="A646" s="7"/>
      <c r="B646" s="8"/>
      <c r="C646" s="8"/>
      <c r="D646" s="7"/>
      <c r="E646" s="7"/>
      <c r="F646" s="7"/>
      <c r="G646" s="7"/>
      <c r="H646" s="143"/>
      <c r="I646" s="7"/>
      <c r="J646" s="7"/>
      <c r="K646" s="7"/>
      <c r="L646" s="7"/>
      <c r="M646" s="7"/>
      <c r="N646" s="7"/>
      <c r="O646" s="7"/>
      <c r="P646" s="7"/>
      <c r="Q646" s="7"/>
      <c r="R646" s="7"/>
      <c r="S646" s="7"/>
      <c r="T646" s="7"/>
      <c r="U646" s="7"/>
      <c r="V646" s="7"/>
      <c r="W646" s="7"/>
    </row>
    <row r="647" spans="1:23">
      <c r="A647" s="7"/>
      <c r="B647" s="8"/>
      <c r="C647" s="8"/>
      <c r="D647" s="7"/>
      <c r="E647" s="7"/>
      <c r="F647" s="7"/>
      <c r="G647" s="7"/>
      <c r="H647" s="143"/>
      <c r="I647" s="7"/>
      <c r="J647" s="7"/>
      <c r="K647" s="7"/>
      <c r="L647" s="7"/>
      <c r="M647" s="7"/>
      <c r="N647" s="7"/>
      <c r="O647" s="7"/>
      <c r="P647" s="7"/>
      <c r="Q647" s="7"/>
      <c r="R647" s="7"/>
      <c r="S647" s="7"/>
      <c r="T647" s="7"/>
      <c r="U647" s="7"/>
      <c r="V647" s="7"/>
      <c r="W647" s="7"/>
    </row>
    <row r="648" spans="1:23">
      <c r="A648" s="7"/>
      <c r="B648" s="8"/>
      <c r="C648" s="8"/>
      <c r="D648" s="7"/>
      <c r="E648" s="7"/>
      <c r="F648" s="7"/>
      <c r="G648" s="7"/>
      <c r="H648" s="143"/>
      <c r="I648" s="7"/>
      <c r="J648" s="7"/>
      <c r="K648" s="7"/>
      <c r="L648" s="7"/>
      <c r="M648" s="7"/>
      <c r="N648" s="7"/>
      <c r="O648" s="7"/>
      <c r="P648" s="7"/>
      <c r="Q648" s="7"/>
      <c r="R648" s="7"/>
      <c r="S648" s="7"/>
      <c r="T648" s="7"/>
      <c r="U648" s="7"/>
      <c r="V648" s="7"/>
      <c r="W648" s="7"/>
    </row>
    <row r="649" spans="1:23">
      <c r="A649" s="7"/>
      <c r="B649" s="8"/>
      <c r="C649" s="8"/>
      <c r="D649" s="7"/>
      <c r="E649" s="7"/>
      <c r="F649" s="7"/>
      <c r="G649" s="7"/>
      <c r="H649" s="143"/>
      <c r="I649" s="7"/>
      <c r="J649" s="7"/>
      <c r="K649" s="7"/>
      <c r="L649" s="7"/>
      <c r="M649" s="7"/>
      <c r="N649" s="7"/>
      <c r="O649" s="7"/>
      <c r="P649" s="7"/>
      <c r="Q649" s="7"/>
      <c r="R649" s="7"/>
      <c r="S649" s="7"/>
      <c r="T649" s="7"/>
      <c r="U649" s="7"/>
      <c r="V649" s="7"/>
      <c r="W649" s="7"/>
    </row>
    <row r="650" spans="1:23">
      <c r="A650" s="7"/>
      <c r="B650" s="8"/>
      <c r="C650" s="8"/>
      <c r="D650" s="7"/>
      <c r="E650" s="7"/>
      <c r="F650" s="7"/>
      <c r="G650" s="7"/>
      <c r="H650" s="143"/>
      <c r="I650" s="7"/>
      <c r="J650" s="7"/>
      <c r="K650" s="7"/>
      <c r="L650" s="7"/>
      <c r="M650" s="7"/>
      <c r="N650" s="7"/>
      <c r="O650" s="7"/>
      <c r="P650" s="7"/>
      <c r="Q650" s="7"/>
      <c r="R650" s="7"/>
      <c r="S650" s="7"/>
      <c r="T650" s="7"/>
      <c r="U650" s="7"/>
      <c r="V650" s="7"/>
      <c r="W650" s="7"/>
    </row>
    <row r="651" spans="1:23">
      <c r="A651" s="7"/>
      <c r="B651" s="8"/>
      <c r="C651" s="8"/>
      <c r="D651" s="7"/>
      <c r="E651" s="7"/>
      <c r="F651" s="7"/>
      <c r="G651" s="7"/>
      <c r="H651" s="143"/>
      <c r="I651" s="7"/>
      <c r="J651" s="7"/>
      <c r="K651" s="7"/>
      <c r="L651" s="7"/>
      <c r="M651" s="7"/>
      <c r="N651" s="7"/>
      <c r="O651" s="7"/>
      <c r="P651" s="7"/>
      <c r="Q651" s="7"/>
      <c r="R651" s="7"/>
      <c r="S651" s="7"/>
      <c r="T651" s="7"/>
      <c r="U651" s="7"/>
      <c r="V651" s="7"/>
      <c r="W651" s="7"/>
    </row>
    <row r="652" spans="1:23">
      <c r="A652" s="7"/>
      <c r="B652" s="8"/>
      <c r="C652" s="8"/>
      <c r="D652" s="7"/>
      <c r="E652" s="7"/>
      <c r="F652" s="7"/>
      <c r="G652" s="7"/>
      <c r="H652" s="143"/>
      <c r="I652" s="7"/>
      <c r="J652" s="7"/>
      <c r="K652" s="7"/>
      <c r="L652" s="7"/>
      <c r="M652" s="7"/>
      <c r="N652" s="7"/>
      <c r="O652" s="7"/>
      <c r="P652" s="7"/>
      <c r="Q652" s="7"/>
      <c r="R652" s="7"/>
      <c r="S652" s="7"/>
      <c r="T652" s="7"/>
      <c r="U652" s="7"/>
      <c r="V652" s="7"/>
      <c r="W652" s="7"/>
    </row>
    <row r="653" spans="1:23">
      <c r="A653" s="7"/>
      <c r="B653" s="8"/>
      <c r="C653" s="8"/>
      <c r="D653" s="7"/>
      <c r="E653" s="7"/>
      <c r="F653" s="7"/>
      <c r="G653" s="7"/>
      <c r="H653" s="143"/>
      <c r="I653" s="7"/>
      <c r="J653" s="7"/>
      <c r="K653" s="7"/>
      <c r="L653" s="7"/>
      <c r="M653" s="7"/>
      <c r="N653" s="7"/>
      <c r="O653" s="7"/>
      <c r="P653" s="7"/>
      <c r="Q653" s="7"/>
      <c r="R653" s="7"/>
      <c r="S653" s="7"/>
      <c r="T653" s="7"/>
      <c r="U653" s="7"/>
      <c r="V653" s="7"/>
      <c r="W653" s="7"/>
    </row>
    <row r="654" spans="1:23">
      <c r="A654" s="7"/>
      <c r="B654" s="8"/>
      <c r="C654" s="8"/>
      <c r="D654" s="7"/>
      <c r="E654" s="7"/>
      <c r="F654" s="7"/>
      <c r="G654" s="7"/>
      <c r="H654" s="143"/>
      <c r="I654" s="7"/>
      <c r="J654" s="7"/>
      <c r="K654" s="7"/>
      <c r="L654" s="7"/>
      <c r="M654" s="7"/>
      <c r="N654" s="7"/>
      <c r="O654" s="7"/>
      <c r="P654" s="7"/>
      <c r="Q654" s="7"/>
      <c r="R654" s="7"/>
      <c r="S654" s="7"/>
      <c r="T654" s="7"/>
      <c r="U654" s="7"/>
      <c r="V654" s="7"/>
      <c r="W654" s="7"/>
    </row>
    <row r="655" spans="1:23">
      <c r="A655" s="7"/>
      <c r="B655" s="8"/>
      <c r="C655" s="8"/>
      <c r="D655" s="7"/>
      <c r="E655" s="7"/>
      <c r="F655" s="7"/>
      <c r="G655" s="7"/>
      <c r="H655" s="143"/>
      <c r="I655" s="7"/>
      <c r="J655" s="7"/>
      <c r="K655" s="7"/>
      <c r="L655" s="7"/>
      <c r="M655" s="7"/>
      <c r="N655" s="7"/>
      <c r="O655" s="7"/>
      <c r="P655" s="7"/>
      <c r="Q655" s="7"/>
      <c r="R655" s="7"/>
      <c r="S655" s="7"/>
      <c r="T655" s="7"/>
      <c r="U655" s="7"/>
      <c r="V655" s="7"/>
      <c r="W655" s="7"/>
    </row>
    <row r="656" spans="1:23">
      <c r="A656" s="7"/>
      <c r="B656" s="8"/>
      <c r="C656" s="8"/>
      <c r="D656" s="7"/>
      <c r="E656" s="7"/>
      <c r="F656" s="7"/>
      <c r="G656" s="7"/>
      <c r="H656" s="143"/>
      <c r="I656" s="7"/>
      <c r="J656" s="7"/>
      <c r="K656" s="7"/>
      <c r="L656" s="7"/>
      <c r="M656" s="7"/>
      <c r="N656" s="7"/>
      <c r="O656" s="7"/>
      <c r="P656" s="7"/>
      <c r="Q656" s="7"/>
      <c r="R656" s="7"/>
      <c r="S656" s="7"/>
      <c r="T656" s="7"/>
      <c r="U656" s="7"/>
      <c r="V656" s="7"/>
      <c r="W656" s="7"/>
    </row>
    <row r="657" spans="1:23">
      <c r="A657" s="7"/>
      <c r="B657" s="8"/>
      <c r="C657" s="8"/>
      <c r="D657" s="7"/>
      <c r="E657" s="7"/>
      <c r="F657" s="7"/>
      <c r="G657" s="7"/>
      <c r="H657" s="143"/>
      <c r="I657" s="7"/>
      <c r="J657" s="7"/>
      <c r="K657" s="7"/>
      <c r="L657" s="7"/>
      <c r="M657" s="7"/>
      <c r="N657" s="7"/>
      <c r="O657" s="7"/>
      <c r="P657" s="7"/>
      <c r="Q657" s="7"/>
      <c r="R657" s="7"/>
      <c r="S657" s="7"/>
      <c r="T657" s="7"/>
      <c r="U657" s="7"/>
      <c r="V657" s="7"/>
      <c r="W657" s="7"/>
    </row>
    <row r="658" spans="1:23">
      <c r="A658" s="7"/>
      <c r="B658" s="8"/>
      <c r="C658" s="8"/>
      <c r="D658" s="7"/>
      <c r="E658" s="7"/>
      <c r="F658" s="7"/>
      <c r="G658" s="7"/>
      <c r="H658" s="143"/>
      <c r="I658" s="7"/>
      <c r="J658" s="7"/>
      <c r="K658" s="7"/>
      <c r="L658" s="7"/>
      <c r="M658" s="7"/>
      <c r="N658" s="7"/>
      <c r="O658" s="7"/>
      <c r="P658" s="7"/>
      <c r="Q658" s="7"/>
      <c r="R658" s="7"/>
      <c r="S658" s="7"/>
      <c r="T658" s="7"/>
      <c r="U658" s="7"/>
      <c r="V658" s="7"/>
      <c r="W658" s="7"/>
    </row>
    <row r="659" spans="1:23">
      <c r="A659" s="7"/>
      <c r="B659" s="8"/>
      <c r="C659" s="8"/>
      <c r="D659" s="7"/>
      <c r="E659" s="7"/>
      <c r="F659" s="7"/>
      <c r="G659" s="7"/>
      <c r="H659" s="143"/>
      <c r="I659" s="7"/>
      <c r="J659" s="7"/>
      <c r="K659" s="7"/>
      <c r="L659" s="7"/>
      <c r="M659" s="7"/>
      <c r="N659" s="7"/>
      <c r="O659" s="7"/>
      <c r="P659" s="7"/>
      <c r="Q659" s="7"/>
      <c r="R659" s="7"/>
      <c r="S659" s="7"/>
      <c r="T659" s="7"/>
      <c r="U659" s="7"/>
      <c r="V659" s="7"/>
      <c r="W659" s="7"/>
    </row>
    <row r="660" spans="1:23">
      <c r="A660" s="7"/>
      <c r="B660" s="8"/>
      <c r="C660" s="8"/>
      <c r="D660" s="7"/>
      <c r="E660" s="7"/>
      <c r="F660" s="7"/>
      <c r="G660" s="7"/>
      <c r="H660" s="143"/>
      <c r="I660" s="7"/>
      <c r="J660" s="7"/>
      <c r="K660" s="7"/>
      <c r="L660" s="7"/>
      <c r="M660" s="7"/>
      <c r="N660" s="7"/>
      <c r="O660" s="7"/>
      <c r="P660" s="7"/>
      <c r="Q660" s="7"/>
      <c r="R660" s="7"/>
      <c r="S660" s="7"/>
      <c r="T660" s="7"/>
      <c r="U660" s="7"/>
      <c r="V660" s="7"/>
      <c r="W660" s="7"/>
    </row>
    <row r="661" spans="1:23">
      <c r="A661" s="7"/>
      <c r="B661" s="8"/>
      <c r="C661" s="8"/>
      <c r="D661" s="7"/>
      <c r="E661" s="7"/>
      <c r="F661" s="7"/>
      <c r="G661" s="7"/>
      <c r="H661" s="143"/>
      <c r="I661" s="7"/>
      <c r="J661" s="7"/>
      <c r="K661" s="7"/>
      <c r="L661" s="7"/>
      <c r="M661" s="7"/>
      <c r="N661" s="7"/>
      <c r="O661" s="7"/>
      <c r="P661" s="7"/>
      <c r="Q661" s="7"/>
      <c r="R661" s="7"/>
      <c r="S661" s="7"/>
      <c r="T661" s="7"/>
      <c r="U661" s="7"/>
      <c r="V661" s="7"/>
      <c r="W661" s="7"/>
    </row>
    <row r="662" spans="1:23">
      <c r="A662" s="7"/>
      <c r="B662" s="8"/>
      <c r="C662" s="8"/>
      <c r="D662" s="7"/>
      <c r="E662" s="7"/>
      <c r="F662" s="7"/>
      <c r="G662" s="7"/>
      <c r="H662" s="143"/>
      <c r="I662" s="7"/>
      <c r="J662" s="7"/>
      <c r="K662" s="7"/>
      <c r="L662" s="7"/>
      <c r="M662" s="7"/>
      <c r="N662" s="7"/>
      <c r="O662" s="7"/>
      <c r="P662" s="7"/>
      <c r="Q662" s="7"/>
      <c r="R662" s="7"/>
      <c r="S662" s="7"/>
      <c r="T662" s="7"/>
      <c r="U662" s="7"/>
      <c r="V662" s="7"/>
      <c r="W662" s="7"/>
    </row>
    <row r="663" spans="1:23">
      <c r="A663" s="7"/>
      <c r="B663" s="8"/>
      <c r="C663" s="8"/>
      <c r="D663" s="7"/>
      <c r="E663" s="7"/>
      <c r="F663" s="7"/>
      <c r="G663" s="7"/>
      <c r="H663" s="143"/>
      <c r="I663" s="7"/>
      <c r="J663" s="7"/>
      <c r="K663" s="7"/>
      <c r="L663" s="7"/>
      <c r="M663" s="7"/>
      <c r="N663" s="7"/>
      <c r="O663" s="7"/>
      <c r="P663" s="7"/>
      <c r="Q663" s="7"/>
      <c r="R663" s="7"/>
      <c r="S663" s="7"/>
      <c r="T663" s="7"/>
      <c r="U663" s="7"/>
      <c r="V663" s="7"/>
      <c r="W663" s="7"/>
    </row>
    <row r="664" spans="1:23">
      <c r="A664" s="7"/>
      <c r="B664" s="8"/>
      <c r="C664" s="8"/>
      <c r="D664" s="7"/>
      <c r="E664" s="7"/>
      <c r="F664" s="7"/>
      <c r="G664" s="7"/>
      <c r="H664" s="143"/>
      <c r="I664" s="7"/>
      <c r="J664" s="7"/>
      <c r="K664" s="7"/>
      <c r="L664" s="7"/>
      <c r="M664" s="7"/>
      <c r="N664" s="7"/>
      <c r="O664" s="7"/>
      <c r="P664" s="7"/>
      <c r="Q664" s="7"/>
      <c r="R664" s="7"/>
      <c r="S664" s="7"/>
      <c r="T664" s="7"/>
      <c r="U664" s="7"/>
      <c r="V664" s="7"/>
      <c r="W664" s="7"/>
    </row>
    <row r="665" spans="1:23">
      <c r="A665" s="7"/>
      <c r="B665" s="8"/>
      <c r="C665" s="8"/>
      <c r="D665" s="7"/>
      <c r="E665" s="7"/>
      <c r="F665" s="7"/>
      <c r="G665" s="7"/>
      <c r="H665" s="143"/>
      <c r="I665" s="7"/>
      <c r="J665" s="7"/>
      <c r="K665" s="7"/>
      <c r="L665" s="7"/>
      <c r="M665" s="7"/>
      <c r="N665" s="7"/>
      <c r="O665" s="7"/>
      <c r="P665" s="7"/>
      <c r="Q665" s="7"/>
      <c r="R665" s="7"/>
      <c r="S665" s="7"/>
      <c r="T665" s="7"/>
      <c r="U665" s="7"/>
      <c r="V665" s="7"/>
      <c r="W665" s="7"/>
    </row>
    <row r="666" spans="1:23">
      <c r="A666" s="7"/>
      <c r="B666" s="8"/>
      <c r="C666" s="8"/>
      <c r="D666" s="7"/>
      <c r="E666" s="7"/>
      <c r="F666" s="7"/>
      <c r="G666" s="7"/>
      <c r="H666" s="143"/>
      <c r="I666" s="7"/>
      <c r="J666" s="7"/>
      <c r="K666" s="7"/>
      <c r="L666" s="7"/>
      <c r="M666" s="7"/>
      <c r="N666" s="7"/>
      <c r="O666" s="7"/>
      <c r="P666" s="7"/>
      <c r="Q666" s="7"/>
      <c r="R666" s="7"/>
      <c r="S666" s="7"/>
      <c r="T666" s="7"/>
      <c r="U666" s="7"/>
      <c r="V666" s="7"/>
      <c r="W666" s="7"/>
    </row>
    <row r="667" spans="1:23">
      <c r="A667" s="7"/>
      <c r="B667" s="8"/>
      <c r="C667" s="8"/>
      <c r="D667" s="7"/>
      <c r="E667" s="7"/>
      <c r="F667" s="7"/>
      <c r="G667" s="7"/>
      <c r="H667" s="143"/>
      <c r="I667" s="7"/>
      <c r="J667" s="7"/>
      <c r="K667" s="7"/>
      <c r="L667" s="7"/>
      <c r="M667" s="7"/>
      <c r="N667" s="7"/>
      <c r="O667" s="7"/>
      <c r="P667" s="7"/>
      <c r="Q667" s="7"/>
      <c r="R667" s="7"/>
      <c r="S667" s="7"/>
      <c r="T667" s="7"/>
      <c r="U667" s="7"/>
      <c r="V667" s="7"/>
      <c r="W667" s="7"/>
    </row>
    <row r="668" spans="1:23">
      <c r="A668" s="7"/>
      <c r="B668" s="8"/>
      <c r="C668" s="8"/>
      <c r="D668" s="7"/>
      <c r="E668" s="7"/>
      <c r="F668" s="7"/>
      <c r="G668" s="7"/>
      <c r="H668" s="143"/>
      <c r="I668" s="7"/>
      <c r="J668" s="7"/>
      <c r="K668" s="7"/>
      <c r="L668" s="7"/>
      <c r="M668" s="7"/>
      <c r="N668" s="7"/>
      <c r="O668" s="7"/>
      <c r="P668" s="7"/>
      <c r="Q668" s="7"/>
      <c r="R668" s="7"/>
      <c r="S668" s="7"/>
      <c r="T668" s="7"/>
      <c r="U668" s="7"/>
      <c r="V668" s="7"/>
      <c r="W668" s="7"/>
    </row>
    <row r="669" spans="1:23">
      <c r="A669" s="7"/>
      <c r="B669" s="8"/>
      <c r="C669" s="8"/>
      <c r="D669" s="7"/>
      <c r="E669" s="7"/>
      <c r="F669" s="7"/>
      <c r="G669" s="7"/>
      <c r="H669" s="143"/>
      <c r="I669" s="7"/>
      <c r="J669" s="7"/>
      <c r="K669" s="7"/>
      <c r="L669" s="7"/>
      <c r="M669" s="7"/>
      <c r="N669" s="7"/>
      <c r="O669" s="7"/>
      <c r="P669" s="7"/>
      <c r="Q669" s="7"/>
      <c r="R669" s="7"/>
      <c r="S669" s="7"/>
      <c r="T669" s="7"/>
      <c r="U669" s="7"/>
      <c r="V669" s="7"/>
      <c r="W669" s="7"/>
    </row>
    <row r="670" spans="1:23">
      <c r="A670" s="7"/>
      <c r="B670" s="8"/>
      <c r="C670" s="8"/>
      <c r="D670" s="7"/>
      <c r="E670" s="7"/>
      <c r="F670" s="7"/>
      <c r="G670" s="7"/>
      <c r="H670" s="143"/>
      <c r="I670" s="7"/>
      <c r="J670" s="7"/>
      <c r="K670" s="7"/>
      <c r="L670" s="7"/>
      <c r="M670" s="7"/>
      <c r="N670" s="7"/>
      <c r="O670" s="7"/>
      <c r="P670" s="7"/>
      <c r="Q670" s="7"/>
      <c r="R670" s="7"/>
      <c r="S670" s="7"/>
      <c r="T670" s="7"/>
      <c r="U670" s="7"/>
      <c r="V670" s="7"/>
      <c r="W670" s="7"/>
    </row>
    <row r="671" spans="1:23">
      <c r="A671" s="7"/>
      <c r="B671" s="8"/>
      <c r="C671" s="8"/>
      <c r="D671" s="7"/>
      <c r="E671" s="7"/>
      <c r="F671" s="7"/>
      <c r="G671" s="7"/>
      <c r="H671" s="143"/>
      <c r="I671" s="7"/>
      <c r="J671" s="7"/>
      <c r="K671" s="7"/>
      <c r="L671" s="7"/>
      <c r="M671" s="7"/>
      <c r="N671" s="7"/>
      <c r="O671" s="7"/>
      <c r="P671" s="7"/>
      <c r="Q671" s="7"/>
      <c r="R671" s="7"/>
      <c r="S671" s="7"/>
      <c r="T671" s="7"/>
      <c r="U671" s="7"/>
      <c r="V671" s="7"/>
      <c r="W671" s="7"/>
    </row>
    <row r="672" spans="1:23">
      <c r="A672" s="7"/>
      <c r="B672" s="8"/>
      <c r="C672" s="8"/>
      <c r="D672" s="7"/>
      <c r="E672" s="7"/>
      <c r="F672" s="7"/>
      <c r="G672" s="7"/>
      <c r="H672" s="143"/>
      <c r="I672" s="7"/>
      <c r="J672" s="7"/>
      <c r="K672" s="7"/>
      <c r="L672" s="7"/>
      <c r="M672" s="7"/>
      <c r="N672" s="7"/>
      <c r="O672" s="7"/>
      <c r="P672" s="7"/>
      <c r="Q672" s="7"/>
      <c r="R672" s="7"/>
      <c r="S672" s="7"/>
      <c r="T672" s="7"/>
      <c r="U672" s="7"/>
      <c r="V672" s="7"/>
      <c r="W672" s="7"/>
    </row>
    <row r="673" spans="1:23">
      <c r="A673" s="7"/>
      <c r="B673" s="8"/>
      <c r="C673" s="8"/>
      <c r="D673" s="7"/>
      <c r="E673" s="7"/>
      <c r="F673" s="7"/>
      <c r="G673" s="7"/>
      <c r="H673" s="143"/>
      <c r="I673" s="7"/>
      <c r="J673" s="7"/>
      <c r="K673" s="7"/>
      <c r="L673" s="7"/>
      <c r="M673" s="7"/>
      <c r="N673" s="7"/>
      <c r="O673" s="7"/>
      <c r="P673" s="7"/>
      <c r="Q673" s="7"/>
      <c r="R673" s="7"/>
      <c r="S673" s="7"/>
      <c r="T673" s="7"/>
      <c r="U673" s="7"/>
      <c r="V673" s="7"/>
      <c r="W673" s="7"/>
    </row>
    <row r="674" spans="1:23">
      <c r="A674" s="7"/>
      <c r="B674" s="8"/>
      <c r="C674" s="8"/>
      <c r="D674" s="7"/>
      <c r="E674" s="7"/>
      <c r="F674" s="7"/>
      <c r="G674" s="7"/>
      <c r="H674" s="143"/>
      <c r="I674" s="7"/>
      <c r="J674" s="7"/>
      <c r="K674" s="7"/>
      <c r="L674" s="7"/>
      <c r="M674" s="7"/>
      <c r="N674" s="7"/>
      <c r="O674" s="7"/>
      <c r="P674" s="7"/>
      <c r="Q674" s="7"/>
      <c r="R674" s="7"/>
      <c r="S674" s="7"/>
      <c r="T674" s="7"/>
      <c r="U674" s="7"/>
      <c r="V674" s="7"/>
      <c r="W674" s="7"/>
    </row>
    <row r="675" spans="1:23">
      <c r="A675" s="7"/>
      <c r="B675" s="8"/>
      <c r="C675" s="8"/>
      <c r="D675" s="7"/>
      <c r="E675" s="7"/>
      <c r="F675" s="7"/>
      <c r="G675" s="7"/>
      <c r="H675" s="143"/>
      <c r="I675" s="7"/>
      <c r="J675" s="7"/>
      <c r="K675" s="7"/>
      <c r="L675" s="7"/>
      <c r="M675" s="7"/>
      <c r="N675" s="7"/>
      <c r="O675" s="7"/>
      <c r="P675" s="7"/>
      <c r="Q675" s="7"/>
      <c r="R675" s="7"/>
      <c r="S675" s="7"/>
      <c r="T675" s="7"/>
      <c r="U675" s="7"/>
      <c r="V675" s="7"/>
      <c r="W675" s="7"/>
    </row>
    <row r="676" spans="1:23">
      <c r="A676" s="7"/>
      <c r="B676" s="8"/>
      <c r="C676" s="8"/>
      <c r="D676" s="7"/>
      <c r="E676" s="7"/>
      <c r="F676" s="7"/>
      <c r="G676" s="7"/>
      <c r="H676" s="143"/>
      <c r="I676" s="7"/>
      <c r="J676" s="7"/>
      <c r="K676" s="7"/>
      <c r="L676" s="7"/>
      <c r="M676" s="7"/>
      <c r="N676" s="7"/>
      <c r="O676" s="7"/>
      <c r="P676" s="7"/>
      <c r="Q676" s="7"/>
      <c r="R676" s="7"/>
      <c r="S676" s="7"/>
      <c r="T676" s="7"/>
      <c r="U676" s="7"/>
      <c r="V676" s="7"/>
      <c r="W676" s="7"/>
    </row>
    <row r="677" spans="1:23">
      <c r="A677" s="7"/>
      <c r="B677" s="8"/>
      <c r="C677" s="8"/>
      <c r="D677" s="7"/>
      <c r="E677" s="7"/>
      <c r="F677" s="7"/>
      <c r="G677" s="7"/>
      <c r="H677" s="143"/>
      <c r="I677" s="7"/>
      <c r="J677" s="7"/>
      <c r="K677" s="7"/>
      <c r="L677" s="7"/>
      <c r="M677" s="7"/>
      <c r="N677" s="7"/>
      <c r="O677" s="7"/>
      <c r="P677" s="7"/>
      <c r="Q677" s="7"/>
      <c r="R677" s="7"/>
      <c r="S677" s="7"/>
      <c r="T677" s="7"/>
      <c r="U677" s="7"/>
      <c r="V677" s="7"/>
      <c r="W677" s="7"/>
    </row>
    <row r="678" spans="1:23">
      <c r="A678" s="7"/>
      <c r="B678" s="8"/>
      <c r="C678" s="8"/>
      <c r="D678" s="7"/>
      <c r="E678" s="7"/>
      <c r="F678" s="7"/>
      <c r="G678" s="7"/>
      <c r="H678" s="143"/>
      <c r="I678" s="7"/>
      <c r="J678" s="7"/>
      <c r="K678" s="7"/>
      <c r="L678" s="7"/>
      <c r="M678" s="7"/>
      <c r="N678" s="7"/>
      <c r="O678" s="7"/>
      <c r="P678" s="7"/>
      <c r="Q678" s="7"/>
      <c r="R678" s="7"/>
      <c r="S678" s="7"/>
      <c r="T678" s="7"/>
      <c r="U678" s="7"/>
      <c r="V678" s="7"/>
      <c r="W678" s="7"/>
    </row>
    <row r="679" spans="1:23">
      <c r="A679" s="7"/>
      <c r="B679" s="8"/>
      <c r="C679" s="8"/>
      <c r="D679" s="7"/>
      <c r="E679" s="7"/>
      <c r="F679" s="7"/>
      <c r="G679" s="7"/>
      <c r="H679" s="143"/>
      <c r="I679" s="7"/>
      <c r="J679" s="7"/>
      <c r="K679" s="7"/>
      <c r="L679" s="7"/>
      <c r="M679" s="7"/>
      <c r="N679" s="7"/>
      <c r="O679" s="7"/>
      <c r="P679" s="7"/>
      <c r="Q679" s="7"/>
      <c r="R679" s="7"/>
      <c r="S679" s="7"/>
      <c r="T679" s="7"/>
      <c r="U679" s="7"/>
      <c r="V679" s="7"/>
      <c r="W679" s="7"/>
    </row>
    <row r="680" spans="1:23">
      <c r="A680" s="7"/>
      <c r="B680" s="8"/>
      <c r="C680" s="8"/>
      <c r="D680" s="7"/>
      <c r="E680" s="7"/>
      <c r="F680" s="7"/>
      <c r="G680" s="7"/>
      <c r="H680" s="143"/>
      <c r="I680" s="7"/>
      <c r="J680" s="7"/>
      <c r="K680" s="7"/>
      <c r="L680" s="7"/>
      <c r="M680" s="7"/>
      <c r="N680" s="7"/>
      <c r="O680" s="7"/>
      <c r="P680" s="7"/>
      <c r="Q680" s="7"/>
      <c r="R680" s="7"/>
      <c r="S680" s="7"/>
      <c r="T680" s="7"/>
      <c r="U680" s="7"/>
      <c r="V680" s="7"/>
      <c r="W680" s="7"/>
    </row>
    <row r="681" spans="1:23">
      <c r="A681" s="7"/>
      <c r="B681" s="8"/>
      <c r="C681" s="8"/>
      <c r="D681" s="7"/>
      <c r="E681" s="7"/>
      <c r="F681" s="7"/>
      <c r="G681" s="7"/>
      <c r="H681" s="143"/>
      <c r="I681" s="7"/>
      <c r="J681" s="7"/>
      <c r="K681" s="7"/>
      <c r="L681" s="7"/>
      <c r="M681" s="7"/>
      <c r="N681" s="7"/>
      <c r="O681" s="7"/>
      <c r="P681" s="7"/>
      <c r="Q681" s="7"/>
      <c r="R681" s="7"/>
      <c r="S681" s="7"/>
      <c r="T681" s="7"/>
      <c r="U681" s="7"/>
      <c r="V681" s="7"/>
      <c r="W681" s="7"/>
    </row>
    <row r="682" spans="1:23">
      <c r="A682" s="7"/>
      <c r="B682" s="8"/>
      <c r="C682" s="8"/>
      <c r="D682" s="7"/>
      <c r="E682" s="7"/>
      <c r="F682" s="7"/>
      <c r="G682" s="7"/>
      <c r="H682" s="143"/>
      <c r="I682" s="7"/>
      <c r="J682" s="7"/>
      <c r="K682" s="7"/>
      <c r="L682" s="7"/>
      <c r="M682" s="7"/>
      <c r="N682" s="7"/>
      <c r="O682" s="7"/>
      <c r="P682" s="7"/>
      <c r="Q682" s="7"/>
      <c r="R682" s="7"/>
      <c r="S682" s="7"/>
      <c r="T682" s="7"/>
      <c r="U682" s="7"/>
      <c r="V682" s="7"/>
      <c r="W682" s="7"/>
    </row>
    <row r="683" spans="1:23">
      <c r="A683" s="7"/>
      <c r="B683" s="8"/>
      <c r="C683" s="8"/>
      <c r="D683" s="7"/>
      <c r="E683" s="7"/>
      <c r="F683" s="7"/>
      <c r="G683" s="7"/>
      <c r="H683" s="143"/>
      <c r="I683" s="7"/>
      <c r="J683" s="7"/>
      <c r="K683" s="7"/>
      <c r="L683" s="7"/>
      <c r="M683" s="7"/>
      <c r="N683" s="7"/>
      <c r="O683" s="7"/>
      <c r="P683" s="7"/>
      <c r="Q683" s="7"/>
      <c r="R683" s="7"/>
      <c r="S683" s="7"/>
      <c r="T683" s="7"/>
      <c r="U683" s="7"/>
      <c r="V683" s="7"/>
      <c r="W683" s="7"/>
    </row>
    <row r="684" spans="1:23">
      <c r="A684" s="7"/>
      <c r="B684" s="8"/>
      <c r="C684" s="8"/>
      <c r="D684" s="7"/>
      <c r="E684" s="7"/>
      <c r="F684" s="7"/>
      <c r="G684" s="7"/>
      <c r="H684" s="143"/>
      <c r="I684" s="7"/>
      <c r="J684" s="7"/>
      <c r="K684" s="7"/>
      <c r="L684" s="7"/>
      <c r="M684" s="7"/>
      <c r="N684" s="7"/>
      <c r="O684" s="7"/>
      <c r="P684" s="7"/>
      <c r="Q684" s="7"/>
      <c r="R684" s="7"/>
      <c r="S684" s="7"/>
      <c r="T684" s="7"/>
      <c r="U684" s="7"/>
      <c r="V684" s="7"/>
      <c r="W684" s="7"/>
    </row>
    <row r="685" spans="1:23">
      <c r="A685" s="7"/>
      <c r="B685" s="8"/>
      <c r="C685" s="8"/>
      <c r="D685" s="7"/>
      <c r="E685" s="7"/>
      <c r="F685" s="7"/>
      <c r="G685" s="7"/>
      <c r="H685" s="143"/>
      <c r="I685" s="7"/>
      <c r="J685" s="7"/>
      <c r="K685" s="7"/>
      <c r="L685" s="7"/>
      <c r="M685" s="7"/>
      <c r="N685" s="7"/>
      <c r="O685" s="7"/>
      <c r="P685" s="7"/>
      <c r="Q685" s="7"/>
      <c r="R685" s="7"/>
      <c r="S685" s="7"/>
      <c r="T685" s="7"/>
      <c r="U685" s="7"/>
      <c r="V685" s="7"/>
      <c r="W685" s="7"/>
    </row>
    <row r="686" spans="1:23">
      <c r="A686" s="7"/>
      <c r="B686" s="8"/>
      <c r="C686" s="8"/>
      <c r="D686" s="7"/>
      <c r="E686" s="7"/>
      <c r="F686" s="7"/>
      <c r="G686" s="7"/>
      <c r="H686" s="143"/>
      <c r="I686" s="7"/>
      <c r="J686" s="7"/>
      <c r="K686" s="7"/>
      <c r="L686" s="7"/>
      <c r="M686" s="7"/>
      <c r="N686" s="7"/>
      <c r="O686" s="7"/>
      <c r="P686" s="7"/>
      <c r="Q686" s="7"/>
      <c r="R686" s="7"/>
      <c r="S686" s="7"/>
      <c r="T686" s="7"/>
      <c r="U686" s="7"/>
      <c r="V686" s="7"/>
      <c r="W686" s="7"/>
    </row>
    <row r="687" spans="1:23">
      <c r="A687" s="7"/>
      <c r="B687" s="8"/>
      <c r="C687" s="8"/>
      <c r="D687" s="7"/>
      <c r="E687" s="7"/>
      <c r="F687" s="7"/>
      <c r="G687" s="7"/>
      <c r="H687" s="143"/>
      <c r="I687" s="7"/>
      <c r="J687" s="7"/>
      <c r="K687" s="7"/>
      <c r="L687" s="7"/>
      <c r="M687" s="7"/>
      <c r="N687" s="7"/>
      <c r="O687" s="7"/>
      <c r="P687" s="7"/>
      <c r="Q687" s="7"/>
      <c r="R687" s="7"/>
      <c r="S687" s="7"/>
      <c r="T687" s="7"/>
      <c r="U687" s="7"/>
      <c r="V687" s="7"/>
      <c r="W687" s="7"/>
    </row>
    <row r="688" spans="1:23">
      <c r="A688" s="7"/>
      <c r="B688" s="8"/>
      <c r="C688" s="8"/>
      <c r="D688" s="7"/>
      <c r="E688" s="7"/>
      <c r="F688" s="7"/>
      <c r="G688" s="7"/>
      <c r="H688" s="143"/>
      <c r="I688" s="7"/>
      <c r="J688" s="7"/>
      <c r="K688" s="7"/>
      <c r="L688" s="7"/>
      <c r="M688" s="7"/>
      <c r="N688" s="7"/>
      <c r="O688" s="7"/>
      <c r="P688" s="7"/>
      <c r="Q688" s="7"/>
      <c r="R688" s="7"/>
      <c r="S688" s="7"/>
      <c r="T688" s="7"/>
      <c r="U688" s="7"/>
      <c r="V688" s="7"/>
      <c r="W688" s="7"/>
    </row>
    <row r="689" spans="1:23">
      <c r="A689" s="7"/>
      <c r="B689" s="8"/>
      <c r="C689" s="8"/>
      <c r="D689" s="7"/>
      <c r="E689" s="7"/>
      <c r="F689" s="7"/>
      <c r="G689" s="7"/>
      <c r="H689" s="143"/>
      <c r="I689" s="7"/>
      <c r="J689" s="7"/>
      <c r="K689" s="7"/>
      <c r="L689" s="7"/>
      <c r="M689" s="7"/>
      <c r="N689" s="7"/>
      <c r="O689" s="7"/>
      <c r="P689" s="7"/>
      <c r="Q689" s="7"/>
      <c r="R689" s="7"/>
      <c r="S689" s="7"/>
      <c r="T689" s="7"/>
      <c r="U689" s="7"/>
      <c r="V689" s="7"/>
      <c r="W689" s="7"/>
    </row>
    <row r="690" spans="1:23">
      <c r="A690" s="7"/>
      <c r="B690" s="8"/>
      <c r="C690" s="8"/>
      <c r="D690" s="7"/>
      <c r="E690" s="7"/>
      <c r="F690" s="7"/>
      <c r="G690" s="7"/>
      <c r="H690" s="143"/>
      <c r="I690" s="7"/>
      <c r="J690" s="7"/>
      <c r="K690" s="7"/>
      <c r="L690" s="7"/>
      <c r="M690" s="7"/>
      <c r="N690" s="7"/>
      <c r="O690" s="7"/>
      <c r="P690" s="7"/>
      <c r="Q690" s="7"/>
      <c r="R690" s="7"/>
      <c r="S690" s="7"/>
      <c r="T690" s="7"/>
      <c r="U690" s="7"/>
      <c r="V690" s="7"/>
      <c r="W690" s="7"/>
    </row>
    <row r="691" spans="1:23">
      <c r="A691" s="7"/>
      <c r="B691" s="8"/>
      <c r="C691" s="8"/>
      <c r="D691" s="7"/>
      <c r="E691" s="7"/>
      <c r="F691" s="7"/>
      <c r="G691" s="7"/>
      <c r="H691" s="143"/>
      <c r="I691" s="7"/>
      <c r="J691" s="7"/>
      <c r="K691" s="7"/>
      <c r="L691" s="7"/>
      <c r="M691" s="7"/>
      <c r="N691" s="7"/>
      <c r="O691" s="7"/>
      <c r="P691" s="7"/>
      <c r="Q691" s="7"/>
      <c r="R691" s="7"/>
      <c r="S691" s="7"/>
      <c r="T691" s="7"/>
      <c r="U691" s="7"/>
      <c r="V691" s="7"/>
      <c r="W691" s="7"/>
    </row>
    <row r="692" spans="1:23">
      <c r="A692" s="7"/>
      <c r="B692" s="8"/>
      <c r="C692" s="8"/>
      <c r="D692" s="7"/>
      <c r="E692" s="7"/>
      <c r="F692" s="7"/>
      <c r="G692" s="7"/>
      <c r="H692" s="143"/>
      <c r="I692" s="7"/>
      <c r="J692" s="7"/>
      <c r="K692" s="7"/>
      <c r="L692" s="7"/>
      <c r="M692" s="7"/>
      <c r="N692" s="7"/>
      <c r="O692" s="7"/>
      <c r="P692" s="7"/>
      <c r="Q692" s="7"/>
      <c r="R692" s="7"/>
      <c r="S692" s="7"/>
      <c r="T692" s="7"/>
      <c r="U692" s="7"/>
      <c r="V692" s="7"/>
      <c r="W692" s="7"/>
    </row>
    <row r="693" spans="1:23">
      <c r="A693" s="7"/>
      <c r="B693" s="8"/>
      <c r="C693" s="8"/>
      <c r="D693" s="7"/>
      <c r="E693" s="7"/>
      <c r="F693" s="7"/>
      <c r="G693" s="7"/>
      <c r="H693" s="143"/>
      <c r="I693" s="7"/>
      <c r="J693" s="7"/>
      <c r="K693" s="7"/>
      <c r="L693" s="7"/>
      <c r="M693" s="7"/>
      <c r="N693" s="7"/>
      <c r="O693" s="7"/>
      <c r="P693" s="7"/>
      <c r="Q693" s="7"/>
      <c r="R693" s="7"/>
      <c r="S693" s="7"/>
      <c r="T693" s="7"/>
      <c r="U693" s="7"/>
      <c r="V693" s="7"/>
      <c r="W693" s="7"/>
    </row>
    <row r="694" spans="1:23">
      <c r="A694" s="7"/>
      <c r="B694" s="8"/>
      <c r="C694" s="8"/>
      <c r="D694" s="7"/>
      <c r="E694" s="7"/>
      <c r="F694" s="7"/>
      <c r="G694" s="7"/>
      <c r="H694" s="143"/>
      <c r="I694" s="7"/>
      <c r="J694" s="7"/>
      <c r="K694" s="7"/>
      <c r="L694" s="7"/>
      <c r="M694" s="7"/>
      <c r="N694" s="7"/>
      <c r="O694" s="7"/>
      <c r="P694" s="7"/>
      <c r="Q694" s="7"/>
      <c r="R694" s="7"/>
      <c r="S694" s="7"/>
      <c r="T694" s="7"/>
      <c r="U694" s="7"/>
      <c r="V694" s="7"/>
      <c r="W694" s="7"/>
    </row>
    <row r="695" spans="1:23">
      <c r="A695" s="7"/>
      <c r="B695" s="8"/>
      <c r="C695" s="8"/>
      <c r="D695" s="7"/>
      <c r="E695" s="7"/>
      <c r="F695" s="7"/>
      <c r="G695" s="7"/>
      <c r="H695" s="143"/>
      <c r="I695" s="7"/>
      <c r="J695" s="7"/>
      <c r="K695" s="7"/>
      <c r="L695" s="7"/>
      <c r="M695" s="7"/>
      <c r="N695" s="7"/>
      <c r="O695" s="7"/>
      <c r="P695" s="7"/>
      <c r="Q695" s="7"/>
      <c r="R695" s="7"/>
      <c r="S695" s="7"/>
      <c r="T695" s="7"/>
      <c r="U695" s="7"/>
      <c r="V695" s="7"/>
      <c r="W695" s="7"/>
    </row>
    <row r="696" spans="1:23">
      <c r="A696" s="7"/>
      <c r="B696" s="8"/>
      <c r="C696" s="8"/>
      <c r="D696" s="7"/>
      <c r="E696" s="7"/>
      <c r="F696" s="7"/>
      <c r="G696" s="7"/>
      <c r="H696" s="143"/>
      <c r="I696" s="7"/>
      <c r="J696" s="7"/>
      <c r="K696" s="7"/>
      <c r="L696" s="7"/>
      <c r="M696" s="7"/>
      <c r="N696" s="7"/>
      <c r="O696" s="7"/>
      <c r="P696" s="7"/>
      <c r="Q696" s="7"/>
      <c r="R696" s="7"/>
      <c r="S696" s="7"/>
      <c r="T696" s="7"/>
      <c r="U696" s="7"/>
      <c r="V696" s="7"/>
      <c r="W696" s="7"/>
    </row>
    <row r="697" spans="1:23">
      <c r="A697" s="7"/>
      <c r="B697" s="8"/>
      <c r="C697" s="8"/>
      <c r="D697" s="7"/>
      <c r="E697" s="7"/>
      <c r="F697" s="7"/>
      <c r="G697" s="7"/>
      <c r="H697" s="143"/>
      <c r="I697" s="7"/>
      <c r="J697" s="7"/>
      <c r="K697" s="7"/>
      <c r="L697" s="7"/>
      <c r="M697" s="7"/>
      <c r="N697" s="7"/>
      <c r="O697" s="7"/>
      <c r="P697" s="7"/>
      <c r="Q697" s="7"/>
      <c r="R697" s="7"/>
      <c r="S697" s="7"/>
      <c r="T697" s="7"/>
      <c r="U697" s="7"/>
      <c r="V697" s="7"/>
      <c r="W697" s="7"/>
    </row>
    <row r="698" spans="1:23">
      <c r="A698" s="7"/>
      <c r="B698" s="8"/>
      <c r="C698" s="8"/>
      <c r="D698" s="7"/>
      <c r="E698" s="7"/>
      <c r="F698" s="7"/>
      <c r="G698" s="7"/>
      <c r="H698" s="143"/>
      <c r="I698" s="7"/>
      <c r="J698" s="7"/>
      <c r="K698" s="7"/>
      <c r="L698" s="7"/>
      <c r="M698" s="7"/>
      <c r="N698" s="7"/>
      <c r="O698" s="7"/>
      <c r="P698" s="7"/>
      <c r="Q698" s="7"/>
      <c r="R698" s="7"/>
      <c r="S698" s="7"/>
      <c r="T698" s="7"/>
      <c r="U698" s="7"/>
      <c r="V698" s="7"/>
      <c r="W698" s="7"/>
    </row>
    <row r="699" spans="1:23">
      <c r="A699" s="7"/>
      <c r="B699" s="8"/>
      <c r="C699" s="8"/>
      <c r="D699" s="7"/>
      <c r="E699" s="7"/>
      <c r="F699" s="7"/>
      <c r="G699" s="7"/>
      <c r="H699" s="143"/>
      <c r="I699" s="7"/>
      <c r="J699" s="7"/>
      <c r="K699" s="7"/>
      <c r="L699" s="7"/>
      <c r="M699" s="7"/>
      <c r="N699" s="7"/>
      <c r="O699" s="7"/>
      <c r="P699" s="7"/>
      <c r="Q699" s="7"/>
      <c r="R699" s="7"/>
      <c r="S699" s="7"/>
      <c r="T699" s="7"/>
      <c r="U699" s="7"/>
      <c r="V699" s="7"/>
      <c r="W699" s="7"/>
    </row>
    <row r="700" spans="1:23">
      <c r="A700" s="7"/>
      <c r="B700" s="8"/>
      <c r="C700" s="8"/>
      <c r="D700" s="7"/>
      <c r="E700" s="7"/>
      <c r="F700" s="7"/>
      <c r="G700" s="7"/>
      <c r="H700" s="143"/>
      <c r="I700" s="7"/>
      <c r="J700" s="7"/>
      <c r="K700" s="7"/>
      <c r="L700" s="7"/>
      <c r="M700" s="7"/>
      <c r="N700" s="7"/>
      <c r="O700" s="7"/>
      <c r="P700" s="7"/>
      <c r="Q700" s="7"/>
      <c r="R700" s="7"/>
      <c r="S700" s="7"/>
      <c r="T700" s="7"/>
      <c r="U700" s="7"/>
      <c r="V700" s="7"/>
      <c r="W700" s="7"/>
    </row>
    <row r="701" spans="1:23">
      <c r="A701" s="7"/>
      <c r="B701" s="8"/>
      <c r="C701" s="8"/>
      <c r="D701" s="7"/>
      <c r="E701" s="7"/>
      <c r="F701" s="7"/>
      <c r="G701" s="7"/>
      <c r="H701" s="143"/>
      <c r="I701" s="7"/>
      <c r="J701" s="7"/>
      <c r="K701" s="7"/>
      <c r="L701" s="7"/>
      <c r="M701" s="7"/>
      <c r="N701" s="7"/>
      <c r="O701" s="7"/>
      <c r="P701" s="7"/>
      <c r="Q701" s="7"/>
      <c r="R701" s="7"/>
      <c r="S701" s="7"/>
      <c r="T701" s="7"/>
      <c r="U701" s="7"/>
      <c r="V701" s="7"/>
      <c r="W701" s="7"/>
    </row>
    <row r="702" spans="1:23">
      <c r="A702" s="7"/>
      <c r="B702" s="8"/>
      <c r="C702" s="8"/>
      <c r="D702" s="7"/>
      <c r="E702" s="7"/>
      <c r="F702" s="7"/>
      <c r="G702" s="7"/>
      <c r="H702" s="143"/>
      <c r="I702" s="7"/>
      <c r="J702" s="7"/>
      <c r="K702" s="7"/>
      <c r="L702" s="7"/>
      <c r="M702" s="7"/>
      <c r="N702" s="7"/>
      <c r="O702" s="7"/>
      <c r="P702" s="7"/>
      <c r="Q702" s="7"/>
      <c r="R702" s="7"/>
      <c r="S702" s="7"/>
      <c r="T702" s="7"/>
      <c r="U702" s="7"/>
      <c r="V702" s="7"/>
      <c r="W702" s="7"/>
    </row>
    <row r="703" spans="1:23">
      <c r="A703" s="7"/>
      <c r="B703" s="8"/>
      <c r="C703" s="8"/>
      <c r="D703" s="7"/>
      <c r="E703" s="7"/>
      <c r="F703" s="7"/>
      <c r="G703" s="7"/>
      <c r="H703" s="143"/>
      <c r="I703" s="7"/>
      <c r="J703" s="7"/>
      <c r="K703" s="7"/>
      <c r="L703" s="7"/>
      <c r="M703" s="7"/>
      <c r="N703" s="7"/>
      <c r="O703" s="7"/>
      <c r="P703" s="7"/>
      <c r="Q703" s="7"/>
      <c r="R703" s="7"/>
      <c r="S703" s="7"/>
      <c r="T703" s="7"/>
      <c r="U703" s="7"/>
      <c r="V703" s="7"/>
      <c r="W703" s="7"/>
    </row>
    <row r="704" spans="1:23">
      <c r="A704" s="7"/>
      <c r="B704" s="8"/>
      <c r="C704" s="8"/>
      <c r="D704" s="7"/>
      <c r="E704" s="7"/>
      <c r="F704" s="7"/>
      <c r="G704" s="7"/>
      <c r="H704" s="143"/>
      <c r="I704" s="7"/>
      <c r="J704" s="7"/>
      <c r="K704" s="7"/>
      <c r="L704" s="7"/>
      <c r="M704" s="7"/>
      <c r="N704" s="7"/>
      <c r="O704" s="7"/>
      <c r="P704" s="7"/>
      <c r="Q704" s="7"/>
      <c r="R704" s="7"/>
      <c r="S704" s="7"/>
      <c r="T704" s="7"/>
      <c r="U704" s="7"/>
      <c r="V704" s="7"/>
      <c r="W704" s="7"/>
    </row>
    <row r="705" spans="1:23">
      <c r="A705" s="7"/>
      <c r="B705" s="8"/>
      <c r="C705" s="8"/>
      <c r="D705" s="7"/>
      <c r="E705" s="7"/>
      <c r="F705" s="7"/>
      <c r="G705" s="7"/>
      <c r="H705" s="143"/>
      <c r="I705" s="7"/>
      <c r="J705" s="7"/>
      <c r="K705" s="7"/>
      <c r="L705" s="7"/>
      <c r="M705" s="7"/>
      <c r="N705" s="7"/>
      <c r="O705" s="7"/>
      <c r="P705" s="7"/>
      <c r="Q705" s="7"/>
      <c r="R705" s="7"/>
      <c r="S705" s="7"/>
      <c r="T705" s="7"/>
      <c r="U705" s="7"/>
      <c r="V705" s="7"/>
      <c r="W705" s="7"/>
    </row>
    <row r="706" spans="1:23">
      <c r="A706" s="7"/>
      <c r="B706" s="8"/>
      <c r="C706" s="8"/>
      <c r="D706" s="7"/>
      <c r="E706" s="7"/>
      <c r="F706" s="7"/>
      <c r="G706" s="7"/>
      <c r="H706" s="143"/>
      <c r="I706" s="7"/>
      <c r="J706" s="7"/>
      <c r="K706" s="7"/>
      <c r="L706" s="7"/>
      <c r="M706" s="7"/>
      <c r="N706" s="7"/>
      <c r="O706" s="7"/>
      <c r="P706" s="7"/>
      <c r="Q706" s="7"/>
      <c r="R706" s="7"/>
      <c r="S706" s="7"/>
      <c r="T706" s="7"/>
      <c r="U706" s="7"/>
      <c r="V706" s="7"/>
      <c r="W706" s="7"/>
    </row>
    <row r="707" spans="1:23">
      <c r="A707" s="7"/>
      <c r="B707" s="8"/>
      <c r="C707" s="8"/>
      <c r="D707" s="7"/>
      <c r="E707" s="7"/>
      <c r="F707" s="7"/>
      <c r="G707" s="7"/>
      <c r="H707" s="143"/>
      <c r="I707" s="7"/>
      <c r="J707" s="7"/>
      <c r="K707" s="7"/>
      <c r="L707" s="7"/>
      <c r="M707" s="7"/>
      <c r="N707" s="7"/>
      <c r="O707" s="7"/>
      <c r="P707" s="7"/>
      <c r="Q707" s="7"/>
      <c r="R707" s="7"/>
      <c r="S707" s="7"/>
      <c r="T707" s="7"/>
      <c r="U707" s="7"/>
      <c r="V707" s="7"/>
      <c r="W707" s="7"/>
    </row>
    <row r="708" spans="1:23">
      <c r="A708" s="7"/>
      <c r="B708" s="8"/>
      <c r="C708" s="8"/>
      <c r="D708" s="7"/>
      <c r="E708" s="7"/>
      <c r="F708" s="7"/>
      <c r="G708" s="7"/>
      <c r="H708" s="143"/>
      <c r="I708" s="7"/>
      <c r="J708" s="7"/>
      <c r="K708" s="7"/>
      <c r="L708" s="7"/>
      <c r="M708" s="7"/>
      <c r="N708" s="7"/>
      <c r="O708" s="7"/>
      <c r="P708" s="7"/>
      <c r="Q708" s="7"/>
      <c r="R708" s="7"/>
      <c r="S708" s="7"/>
      <c r="T708" s="7"/>
      <c r="U708" s="7"/>
      <c r="V708" s="7"/>
      <c r="W708" s="7"/>
    </row>
    <row r="709" spans="1:23">
      <c r="A709" s="7"/>
      <c r="B709" s="8"/>
      <c r="C709" s="8"/>
      <c r="D709" s="7"/>
      <c r="E709" s="7"/>
      <c r="F709" s="7"/>
      <c r="G709" s="7"/>
      <c r="H709" s="143"/>
      <c r="I709" s="7"/>
      <c r="J709" s="7"/>
      <c r="K709" s="7"/>
      <c r="L709" s="7"/>
      <c r="M709" s="7"/>
      <c r="N709" s="7"/>
      <c r="O709" s="7"/>
      <c r="P709" s="7"/>
      <c r="Q709" s="7"/>
      <c r="R709" s="7"/>
      <c r="S709" s="7"/>
      <c r="T709" s="7"/>
      <c r="U709" s="7"/>
      <c r="V709" s="7"/>
      <c r="W709" s="7"/>
    </row>
    <row r="710" spans="1:23">
      <c r="A710" s="7"/>
      <c r="B710" s="8"/>
      <c r="C710" s="8"/>
      <c r="D710" s="7"/>
      <c r="E710" s="7"/>
      <c r="F710" s="7"/>
      <c r="G710" s="7"/>
      <c r="H710" s="143"/>
      <c r="I710" s="7"/>
      <c r="J710" s="7"/>
      <c r="K710" s="7"/>
      <c r="L710" s="7"/>
      <c r="M710" s="7"/>
      <c r="N710" s="7"/>
      <c r="O710" s="7"/>
      <c r="P710" s="7"/>
      <c r="Q710" s="7"/>
      <c r="R710" s="7"/>
      <c r="S710" s="7"/>
      <c r="T710" s="7"/>
      <c r="U710" s="7"/>
      <c r="V710" s="7"/>
      <c r="W710" s="7"/>
    </row>
    <row r="711" spans="1:23">
      <c r="A711" s="7"/>
      <c r="B711" s="8"/>
      <c r="C711" s="8"/>
      <c r="D711" s="7"/>
      <c r="E711" s="7"/>
      <c r="F711" s="7"/>
      <c r="G711" s="7"/>
      <c r="H711" s="143"/>
      <c r="I711" s="7"/>
      <c r="J711" s="7"/>
      <c r="K711" s="7"/>
      <c r="L711" s="7"/>
      <c r="M711" s="7"/>
      <c r="N711" s="7"/>
      <c r="O711" s="7"/>
      <c r="P711" s="7"/>
      <c r="Q711" s="7"/>
      <c r="R711" s="7"/>
      <c r="S711" s="7"/>
      <c r="T711" s="7"/>
      <c r="U711" s="7"/>
      <c r="V711" s="7"/>
      <c r="W711" s="7"/>
    </row>
    <row r="712" spans="1:23">
      <c r="A712" s="7"/>
      <c r="B712" s="8"/>
      <c r="C712" s="8"/>
      <c r="D712" s="7"/>
      <c r="E712" s="7"/>
      <c r="F712" s="7"/>
      <c r="G712" s="7"/>
      <c r="H712" s="143"/>
      <c r="I712" s="7"/>
      <c r="J712" s="7"/>
      <c r="K712" s="7"/>
      <c r="L712" s="7"/>
      <c r="M712" s="7"/>
      <c r="N712" s="7"/>
      <c r="O712" s="7"/>
      <c r="P712" s="7"/>
      <c r="Q712" s="7"/>
      <c r="R712" s="7"/>
      <c r="S712" s="7"/>
      <c r="T712" s="7"/>
      <c r="U712" s="7"/>
      <c r="V712" s="7"/>
      <c r="W712" s="7"/>
    </row>
    <row r="713" spans="1:23">
      <c r="A713" s="7"/>
      <c r="B713" s="8"/>
      <c r="C713" s="8"/>
      <c r="D713" s="7"/>
      <c r="E713" s="7"/>
      <c r="F713" s="7"/>
      <c r="G713" s="7"/>
      <c r="H713" s="143"/>
      <c r="I713" s="7"/>
      <c r="J713" s="7"/>
      <c r="K713" s="7"/>
      <c r="L713" s="7"/>
      <c r="M713" s="7"/>
      <c r="N713" s="7"/>
      <c r="O713" s="7"/>
      <c r="P713" s="7"/>
      <c r="Q713" s="7"/>
      <c r="R713" s="7"/>
      <c r="S713" s="7"/>
      <c r="T713" s="7"/>
      <c r="U713" s="7"/>
      <c r="V713" s="7"/>
      <c r="W713" s="7"/>
    </row>
    <row r="714" spans="1:23">
      <c r="A714" s="7"/>
      <c r="B714" s="8"/>
      <c r="C714" s="8"/>
      <c r="D714" s="7"/>
      <c r="E714" s="7"/>
      <c r="F714" s="7"/>
      <c r="G714" s="7"/>
      <c r="H714" s="143"/>
      <c r="I714" s="7"/>
      <c r="J714" s="7"/>
      <c r="K714" s="7"/>
      <c r="L714" s="7"/>
      <c r="M714" s="7"/>
      <c r="N714" s="7"/>
      <c r="O714" s="7"/>
      <c r="P714" s="7"/>
      <c r="Q714" s="7"/>
      <c r="R714" s="7"/>
      <c r="S714" s="7"/>
      <c r="T714" s="7"/>
      <c r="U714" s="7"/>
      <c r="V714" s="7"/>
      <c r="W714" s="7"/>
    </row>
    <row r="715" spans="1:23">
      <c r="A715" s="7"/>
      <c r="B715" s="8"/>
      <c r="C715" s="8"/>
      <c r="D715" s="7"/>
      <c r="E715" s="7"/>
      <c r="F715" s="7"/>
      <c r="G715" s="7"/>
      <c r="H715" s="143"/>
      <c r="I715" s="7"/>
      <c r="J715" s="7"/>
      <c r="K715" s="7"/>
      <c r="L715" s="7"/>
      <c r="M715" s="7"/>
      <c r="N715" s="7"/>
      <c r="O715" s="7"/>
      <c r="P715" s="7"/>
      <c r="Q715" s="7"/>
      <c r="R715" s="7"/>
      <c r="S715" s="7"/>
      <c r="T715" s="7"/>
      <c r="U715" s="7"/>
      <c r="V715" s="7"/>
      <c r="W715" s="7"/>
    </row>
    <row r="716" spans="1:23">
      <c r="A716" s="7"/>
      <c r="B716" s="8"/>
      <c r="C716" s="8"/>
      <c r="D716" s="7"/>
      <c r="E716" s="7"/>
      <c r="F716" s="7"/>
      <c r="G716" s="7"/>
      <c r="H716" s="143"/>
      <c r="I716" s="7"/>
      <c r="J716" s="7"/>
      <c r="K716" s="7"/>
      <c r="L716" s="7"/>
      <c r="M716" s="7"/>
      <c r="N716" s="7"/>
      <c r="O716" s="7"/>
      <c r="P716" s="7"/>
      <c r="Q716" s="7"/>
      <c r="R716" s="7"/>
      <c r="S716" s="7"/>
      <c r="T716" s="7"/>
      <c r="U716" s="7"/>
      <c r="V716" s="7"/>
      <c r="W716" s="7"/>
    </row>
    <row r="717" spans="1:23">
      <c r="A717" s="7"/>
      <c r="B717" s="8"/>
      <c r="C717" s="8"/>
      <c r="D717" s="7"/>
      <c r="E717" s="7"/>
      <c r="F717" s="7"/>
      <c r="G717" s="7"/>
      <c r="H717" s="143"/>
      <c r="I717" s="7"/>
      <c r="J717" s="7"/>
      <c r="K717" s="7"/>
      <c r="L717" s="7"/>
      <c r="M717" s="7"/>
      <c r="N717" s="7"/>
      <c r="O717" s="7"/>
      <c r="P717" s="7"/>
      <c r="Q717" s="7"/>
      <c r="R717" s="7"/>
      <c r="S717" s="7"/>
      <c r="T717" s="7"/>
      <c r="U717" s="7"/>
      <c r="V717" s="7"/>
      <c r="W717" s="7"/>
    </row>
    <row r="718" spans="1:23">
      <c r="A718" s="7"/>
      <c r="B718" s="8"/>
      <c r="C718" s="8"/>
      <c r="D718" s="7"/>
      <c r="E718" s="7"/>
      <c r="F718" s="7"/>
      <c r="G718" s="7"/>
      <c r="H718" s="143"/>
      <c r="I718" s="7"/>
      <c r="J718" s="7"/>
      <c r="K718" s="7"/>
      <c r="L718" s="7"/>
      <c r="M718" s="7"/>
      <c r="N718" s="7"/>
      <c r="O718" s="7"/>
      <c r="P718" s="7"/>
      <c r="Q718" s="7"/>
      <c r="R718" s="7"/>
      <c r="S718" s="7"/>
      <c r="T718" s="7"/>
      <c r="U718" s="7"/>
      <c r="V718" s="7"/>
      <c r="W718" s="7"/>
    </row>
    <row r="719" spans="1:23">
      <c r="A719" s="7"/>
      <c r="B719" s="8"/>
      <c r="C719" s="8"/>
      <c r="D719" s="7"/>
      <c r="E719" s="7"/>
      <c r="F719" s="7"/>
      <c r="G719" s="7"/>
      <c r="H719" s="143"/>
      <c r="I719" s="7"/>
      <c r="J719" s="7"/>
      <c r="K719" s="7"/>
      <c r="L719" s="7"/>
      <c r="M719" s="7"/>
      <c r="N719" s="7"/>
      <c r="O719" s="7"/>
      <c r="P719" s="7"/>
      <c r="Q719" s="7"/>
      <c r="R719" s="7"/>
      <c r="S719" s="7"/>
      <c r="T719" s="7"/>
      <c r="U719" s="7"/>
      <c r="V719" s="7"/>
      <c r="W719" s="7"/>
    </row>
    <row r="720" spans="1:23">
      <c r="A720" s="7"/>
      <c r="B720" s="8"/>
      <c r="C720" s="8"/>
      <c r="D720" s="7"/>
      <c r="E720" s="7"/>
      <c r="F720" s="7"/>
      <c r="G720" s="7"/>
      <c r="H720" s="143"/>
      <c r="I720" s="7"/>
      <c r="J720" s="7"/>
      <c r="K720" s="7"/>
      <c r="L720" s="7"/>
      <c r="M720" s="7"/>
      <c r="N720" s="7"/>
      <c r="O720" s="7"/>
      <c r="P720" s="7"/>
      <c r="Q720" s="7"/>
      <c r="R720" s="7"/>
      <c r="S720" s="7"/>
      <c r="T720" s="7"/>
      <c r="U720" s="7"/>
      <c r="V720" s="7"/>
      <c r="W720" s="7"/>
    </row>
    <row r="721" spans="1:23">
      <c r="A721" s="7"/>
      <c r="B721" s="8"/>
      <c r="C721" s="8"/>
      <c r="D721" s="7"/>
      <c r="E721" s="7"/>
      <c r="F721" s="7"/>
      <c r="G721" s="7"/>
      <c r="H721" s="143"/>
      <c r="I721" s="7"/>
      <c r="J721" s="7"/>
      <c r="K721" s="7"/>
      <c r="L721" s="7"/>
      <c r="M721" s="7"/>
      <c r="N721" s="7"/>
      <c r="O721" s="7"/>
      <c r="P721" s="7"/>
      <c r="Q721" s="7"/>
      <c r="R721" s="7"/>
      <c r="S721" s="7"/>
      <c r="T721" s="7"/>
      <c r="U721" s="7"/>
      <c r="V721" s="7"/>
      <c r="W721" s="7"/>
    </row>
    <row r="722" spans="1:23">
      <c r="A722" s="7"/>
      <c r="B722" s="8"/>
      <c r="C722" s="8"/>
      <c r="D722" s="7"/>
      <c r="E722" s="7"/>
      <c r="F722" s="7"/>
      <c r="G722" s="7"/>
      <c r="H722" s="143"/>
      <c r="I722" s="7"/>
      <c r="J722" s="7"/>
      <c r="K722" s="7"/>
      <c r="L722" s="7"/>
      <c r="M722" s="7"/>
      <c r="N722" s="7"/>
      <c r="O722" s="7"/>
      <c r="P722" s="7"/>
      <c r="Q722" s="7"/>
      <c r="R722" s="7"/>
      <c r="S722" s="7"/>
      <c r="T722" s="7"/>
      <c r="U722" s="7"/>
      <c r="V722" s="7"/>
      <c r="W722" s="7"/>
    </row>
    <row r="723" spans="1:23">
      <c r="A723" s="7"/>
      <c r="B723" s="8"/>
      <c r="C723" s="8"/>
      <c r="D723" s="7"/>
      <c r="E723" s="7"/>
      <c r="F723" s="7"/>
      <c r="G723" s="7"/>
      <c r="H723" s="143"/>
      <c r="I723" s="7"/>
      <c r="J723" s="7"/>
      <c r="K723" s="7"/>
      <c r="L723" s="7"/>
      <c r="M723" s="7"/>
      <c r="N723" s="7"/>
      <c r="O723" s="7"/>
      <c r="P723" s="7"/>
      <c r="Q723" s="7"/>
      <c r="R723" s="7"/>
      <c r="S723" s="7"/>
      <c r="T723" s="7"/>
      <c r="U723" s="7"/>
      <c r="V723" s="7"/>
      <c r="W723" s="7"/>
    </row>
    <row r="724" spans="1:23">
      <c r="A724" s="7"/>
      <c r="B724" s="8"/>
      <c r="C724" s="8"/>
      <c r="D724" s="7"/>
      <c r="E724" s="7"/>
      <c r="F724" s="7"/>
      <c r="G724" s="7"/>
      <c r="H724" s="143"/>
      <c r="I724" s="7"/>
      <c r="J724" s="7"/>
      <c r="K724" s="7"/>
      <c r="L724" s="7"/>
      <c r="M724" s="7"/>
      <c r="N724" s="7"/>
      <c r="O724" s="7"/>
      <c r="P724" s="7"/>
      <c r="Q724" s="7"/>
      <c r="R724" s="7"/>
      <c r="S724" s="7"/>
      <c r="T724" s="7"/>
      <c r="U724" s="7"/>
      <c r="V724" s="7"/>
      <c r="W724" s="7"/>
    </row>
    <row r="725" spans="1:23">
      <c r="A725" s="7"/>
      <c r="B725" s="8"/>
      <c r="C725" s="8"/>
      <c r="D725" s="7"/>
      <c r="E725" s="7"/>
      <c r="F725" s="7"/>
      <c r="G725" s="7"/>
      <c r="H725" s="143"/>
      <c r="I725" s="7"/>
      <c r="J725" s="7"/>
      <c r="K725" s="7"/>
      <c r="L725" s="7"/>
      <c r="M725" s="7"/>
      <c r="N725" s="7"/>
      <c r="O725" s="7"/>
      <c r="P725" s="7"/>
      <c r="Q725" s="7"/>
      <c r="R725" s="7"/>
      <c r="S725" s="7"/>
      <c r="T725" s="7"/>
      <c r="U725" s="7"/>
      <c r="V725" s="7"/>
      <c r="W725" s="7"/>
    </row>
    <row r="726" spans="1:23">
      <c r="A726" s="7"/>
      <c r="B726" s="8"/>
      <c r="C726" s="8"/>
      <c r="D726" s="7"/>
      <c r="E726" s="7"/>
      <c r="F726" s="7"/>
      <c r="G726" s="7"/>
      <c r="H726" s="143"/>
      <c r="I726" s="7"/>
      <c r="J726" s="7"/>
      <c r="K726" s="7"/>
      <c r="L726" s="7"/>
      <c r="M726" s="7"/>
      <c r="N726" s="7"/>
      <c r="O726" s="7"/>
      <c r="P726" s="7"/>
      <c r="Q726" s="7"/>
      <c r="R726" s="7"/>
      <c r="S726" s="7"/>
      <c r="T726" s="7"/>
      <c r="U726" s="7"/>
      <c r="V726" s="7"/>
      <c r="W726" s="7"/>
    </row>
    <row r="727" spans="1:23">
      <c r="A727" s="7"/>
      <c r="B727" s="8"/>
      <c r="C727" s="8"/>
      <c r="D727" s="7"/>
      <c r="E727" s="7"/>
      <c r="F727" s="7"/>
      <c r="G727" s="7"/>
      <c r="H727" s="143"/>
      <c r="I727" s="7"/>
      <c r="J727" s="7"/>
      <c r="K727" s="7"/>
      <c r="L727" s="7"/>
      <c r="M727" s="7"/>
      <c r="N727" s="7"/>
      <c r="O727" s="7"/>
      <c r="P727" s="7"/>
      <c r="Q727" s="7"/>
      <c r="R727" s="7"/>
      <c r="S727" s="7"/>
      <c r="T727" s="7"/>
      <c r="U727" s="7"/>
      <c r="V727" s="7"/>
      <c r="W727" s="7"/>
    </row>
    <row r="728" spans="1:23">
      <c r="A728" s="7"/>
      <c r="B728" s="8"/>
      <c r="C728" s="8"/>
      <c r="D728" s="7"/>
      <c r="E728" s="7"/>
      <c r="F728" s="7"/>
      <c r="G728" s="7"/>
      <c r="H728" s="143"/>
      <c r="I728" s="7"/>
      <c r="J728" s="7"/>
      <c r="K728" s="7"/>
      <c r="L728" s="7"/>
      <c r="M728" s="7"/>
      <c r="N728" s="7"/>
      <c r="O728" s="7"/>
      <c r="P728" s="7"/>
      <c r="Q728" s="7"/>
      <c r="R728" s="7"/>
      <c r="S728" s="7"/>
      <c r="T728" s="7"/>
      <c r="U728" s="7"/>
      <c r="V728" s="7"/>
      <c r="W728" s="7"/>
    </row>
    <row r="729" spans="1:23">
      <c r="A729" s="7"/>
      <c r="B729" s="8"/>
      <c r="C729" s="8"/>
      <c r="D729" s="7"/>
      <c r="E729" s="7"/>
      <c r="F729" s="7"/>
      <c r="G729" s="7"/>
      <c r="H729" s="143"/>
      <c r="I729" s="7"/>
      <c r="J729" s="7"/>
      <c r="K729" s="7"/>
      <c r="L729" s="7"/>
      <c r="M729" s="7"/>
      <c r="N729" s="7"/>
      <c r="O729" s="7"/>
      <c r="P729" s="7"/>
      <c r="Q729" s="7"/>
      <c r="R729" s="7"/>
      <c r="S729" s="7"/>
      <c r="T729" s="7"/>
      <c r="U729" s="7"/>
      <c r="V729" s="7"/>
      <c r="W729" s="7"/>
    </row>
    <row r="730" spans="1:23">
      <c r="A730" s="7"/>
      <c r="B730" s="8"/>
      <c r="C730" s="8"/>
      <c r="D730" s="7"/>
      <c r="E730" s="7"/>
      <c r="F730" s="7"/>
      <c r="G730" s="7"/>
      <c r="H730" s="143"/>
      <c r="I730" s="7"/>
      <c r="J730" s="7"/>
      <c r="K730" s="7"/>
      <c r="L730" s="7"/>
      <c r="M730" s="7"/>
      <c r="N730" s="7"/>
      <c r="O730" s="7"/>
      <c r="P730" s="7"/>
      <c r="Q730" s="7"/>
      <c r="R730" s="7"/>
      <c r="S730" s="7"/>
      <c r="T730" s="7"/>
      <c r="U730" s="7"/>
      <c r="V730" s="7"/>
      <c r="W730" s="7"/>
    </row>
    <row r="731" spans="1:23">
      <c r="A731" s="7"/>
      <c r="B731" s="8"/>
      <c r="C731" s="8"/>
      <c r="D731" s="7"/>
      <c r="E731" s="7"/>
      <c r="F731" s="7"/>
      <c r="G731" s="7"/>
      <c r="H731" s="143"/>
      <c r="I731" s="7"/>
      <c r="J731" s="7"/>
      <c r="K731" s="7"/>
      <c r="L731" s="7"/>
      <c r="M731" s="7"/>
      <c r="N731" s="7"/>
      <c r="O731" s="7"/>
      <c r="P731" s="7"/>
      <c r="Q731" s="7"/>
      <c r="R731" s="7"/>
      <c r="S731" s="7"/>
      <c r="T731" s="7"/>
      <c r="U731" s="7"/>
      <c r="V731" s="7"/>
      <c r="W731" s="7"/>
    </row>
    <row r="732" spans="1:23">
      <c r="A732" s="7"/>
      <c r="B732" s="8"/>
      <c r="C732" s="8"/>
      <c r="D732" s="7"/>
      <c r="E732" s="7"/>
      <c r="F732" s="7"/>
      <c r="G732" s="7"/>
      <c r="H732" s="143"/>
      <c r="I732" s="7"/>
      <c r="J732" s="7"/>
      <c r="K732" s="7"/>
      <c r="L732" s="7"/>
      <c r="M732" s="7"/>
      <c r="N732" s="7"/>
      <c r="O732" s="7"/>
      <c r="P732" s="7"/>
      <c r="Q732" s="7"/>
      <c r="R732" s="7"/>
      <c r="S732" s="7"/>
      <c r="T732" s="7"/>
      <c r="U732" s="7"/>
      <c r="V732" s="7"/>
      <c r="W732" s="7"/>
    </row>
    <row r="733" spans="1:23">
      <c r="A733" s="7"/>
      <c r="B733" s="8"/>
      <c r="C733" s="8"/>
      <c r="D733" s="7"/>
      <c r="E733" s="7"/>
      <c r="F733" s="7"/>
      <c r="G733" s="7"/>
      <c r="H733" s="143"/>
      <c r="I733" s="7"/>
      <c r="J733" s="7"/>
      <c r="K733" s="7"/>
      <c r="L733" s="7"/>
      <c r="M733" s="7"/>
      <c r="N733" s="7"/>
      <c r="O733" s="7"/>
      <c r="P733" s="7"/>
      <c r="Q733" s="7"/>
      <c r="R733" s="7"/>
      <c r="S733" s="7"/>
      <c r="T733" s="7"/>
      <c r="U733" s="7"/>
      <c r="V733" s="7"/>
      <c r="W733" s="7"/>
    </row>
    <row r="734" spans="1:23">
      <c r="A734" s="7"/>
      <c r="B734" s="8"/>
      <c r="C734" s="8"/>
      <c r="D734" s="7"/>
      <c r="E734" s="7"/>
      <c r="F734" s="7"/>
      <c r="G734" s="7"/>
      <c r="H734" s="143"/>
      <c r="I734" s="7"/>
      <c r="J734" s="7"/>
      <c r="K734" s="7"/>
      <c r="L734" s="7"/>
      <c r="M734" s="7"/>
      <c r="N734" s="7"/>
      <c r="O734" s="7"/>
      <c r="P734" s="7"/>
      <c r="Q734" s="7"/>
      <c r="R734" s="7"/>
      <c r="S734" s="7"/>
      <c r="T734" s="7"/>
      <c r="U734" s="7"/>
      <c r="V734" s="7"/>
      <c r="W734" s="7"/>
    </row>
    <row r="735" spans="1:23">
      <c r="A735" s="7"/>
      <c r="B735" s="8"/>
      <c r="C735" s="8"/>
      <c r="D735" s="7"/>
      <c r="E735" s="7"/>
      <c r="F735" s="7"/>
      <c r="G735" s="7"/>
      <c r="H735" s="143"/>
      <c r="I735" s="7"/>
      <c r="J735" s="7"/>
      <c r="K735" s="7"/>
      <c r="L735" s="7"/>
      <c r="M735" s="7"/>
      <c r="N735" s="7"/>
      <c r="O735" s="7"/>
      <c r="P735" s="7"/>
      <c r="Q735" s="7"/>
      <c r="R735" s="7"/>
      <c r="S735" s="7"/>
      <c r="T735" s="7"/>
      <c r="U735" s="7"/>
      <c r="V735" s="7"/>
      <c r="W735" s="7"/>
    </row>
    <row r="736" spans="1:23">
      <c r="A736" s="7"/>
      <c r="B736" s="8"/>
      <c r="C736" s="8"/>
      <c r="D736" s="7"/>
      <c r="E736" s="7"/>
      <c r="F736" s="7"/>
      <c r="G736" s="7"/>
      <c r="H736" s="143"/>
      <c r="I736" s="7"/>
      <c r="J736" s="7"/>
      <c r="K736" s="7"/>
      <c r="L736" s="7"/>
      <c r="M736" s="7"/>
      <c r="N736" s="7"/>
      <c r="O736" s="7"/>
      <c r="P736" s="7"/>
      <c r="Q736" s="7"/>
      <c r="R736" s="7"/>
      <c r="S736" s="7"/>
      <c r="T736" s="7"/>
      <c r="U736" s="7"/>
      <c r="V736" s="7"/>
      <c r="W736" s="7"/>
    </row>
    <row r="737" spans="1:23">
      <c r="A737" s="7"/>
      <c r="B737" s="8"/>
      <c r="C737" s="8"/>
      <c r="D737" s="7"/>
      <c r="E737" s="7"/>
      <c r="F737" s="7"/>
      <c r="G737" s="7"/>
      <c r="H737" s="143"/>
      <c r="I737" s="7"/>
      <c r="J737" s="7"/>
      <c r="K737" s="7"/>
      <c r="L737" s="7"/>
      <c r="M737" s="7"/>
      <c r="N737" s="7"/>
      <c r="O737" s="7"/>
      <c r="P737" s="7"/>
      <c r="Q737" s="7"/>
      <c r="R737" s="7"/>
      <c r="S737" s="7"/>
      <c r="T737" s="7"/>
      <c r="U737" s="7"/>
      <c r="V737" s="7"/>
      <c r="W737" s="7"/>
    </row>
    <row r="738" spans="1:23">
      <c r="A738" s="7"/>
      <c r="B738" s="8"/>
      <c r="C738" s="8"/>
      <c r="D738" s="7"/>
      <c r="E738" s="7"/>
      <c r="F738" s="7"/>
      <c r="G738" s="7"/>
      <c r="H738" s="143"/>
      <c r="I738" s="7"/>
      <c r="J738" s="7"/>
      <c r="K738" s="7"/>
      <c r="L738" s="7"/>
      <c r="M738" s="7"/>
      <c r="N738" s="7"/>
      <c r="O738" s="7"/>
      <c r="P738" s="7"/>
      <c r="Q738" s="7"/>
      <c r="R738" s="7"/>
      <c r="S738" s="7"/>
      <c r="T738" s="7"/>
      <c r="U738" s="7"/>
      <c r="V738" s="7"/>
      <c r="W738" s="7"/>
    </row>
    <row r="739" spans="1:23">
      <c r="A739" s="7"/>
      <c r="B739" s="8"/>
      <c r="C739" s="8"/>
      <c r="D739" s="7"/>
      <c r="E739" s="7"/>
      <c r="F739" s="7"/>
      <c r="G739" s="7"/>
      <c r="H739" s="143"/>
      <c r="I739" s="7"/>
      <c r="J739" s="7"/>
      <c r="K739" s="7"/>
      <c r="L739" s="7"/>
      <c r="M739" s="7"/>
      <c r="N739" s="7"/>
      <c r="O739" s="7"/>
      <c r="P739" s="7"/>
      <c r="Q739" s="7"/>
      <c r="R739" s="7"/>
      <c r="S739" s="7"/>
      <c r="T739" s="7"/>
      <c r="U739" s="7"/>
      <c r="V739" s="7"/>
      <c r="W739" s="7"/>
    </row>
    <row r="740" spans="1:23">
      <c r="A740" s="7"/>
      <c r="B740" s="8"/>
      <c r="C740" s="8"/>
      <c r="D740" s="7"/>
      <c r="E740" s="7"/>
      <c r="F740" s="7"/>
      <c r="G740" s="7"/>
      <c r="H740" s="143"/>
      <c r="I740" s="7"/>
      <c r="J740" s="7"/>
      <c r="K740" s="7"/>
      <c r="L740" s="7"/>
      <c r="M740" s="7"/>
      <c r="N740" s="7"/>
      <c r="O740" s="7"/>
      <c r="P740" s="7"/>
      <c r="Q740" s="7"/>
      <c r="R740" s="7"/>
      <c r="S740" s="7"/>
      <c r="T740" s="7"/>
      <c r="U740" s="7"/>
      <c r="V740" s="7"/>
      <c r="W740" s="7"/>
    </row>
    <row r="741" spans="1:23">
      <c r="A741" s="7"/>
      <c r="B741" s="8"/>
      <c r="C741" s="8"/>
      <c r="D741" s="7"/>
      <c r="E741" s="7"/>
      <c r="F741" s="7"/>
      <c r="G741" s="7"/>
      <c r="H741" s="143"/>
      <c r="I741" s="7"/>
      <c r="J741" s="7"/>
      <c r="K741" s="7"/>
      <c r="L741" s="7"/>
      <c r="M741" s="7"/>
      <c r="N741" s="7"/>
      <c r="O741" s="7"/>
      <c r="P741" s="7"/>
      <c r="Q741" s="7"/>
      <c r="R741" s="7"/>
      <c r="S741" s="7"/>
      <c r="T741" s="7"/>
      <c r="U741" s="7"/>
      <c r="V741" s="7"/>
      <c r="W741" s="7"/>
    </row>
    <row r="742" spans="1:23">
      <c r="A742" s="7"/>
      <c r="B742" s="8"/>
      <c r="C742" s="8"/>
      <c r="D742" s="7"/>
      <c r="E742" s="7"/>
      <c r="F742" s="7"/>
      <c r="G742" s="7"/>
      <c r="H742" s="143"/>
      <c r="I742" s="7"/>
      <c r="J742" s="7"/>
      <c r="K742" s="7"/>
      <c r="L742" s="7"/>
      <c r="M742" s="7"/>
      <c r="N742" s="7"/>
      <c r="O742" s="7"/>
      <c r="P742" s="7"/>
      <c r="Q742" s="7"/>
      <c r="R742" s="7"/>
      <c r="S742" s="7"/>
      <c r="T742" s="7"/>
      <c r="U742" s="7"/>
      <c r="V742" s="7"/>
      <c r="W742" s="7"/>
    </row>
    <row r="743" spans="1:23">
      <c r="A743" s="7"/>
      <c r="B743" s="8"/>
      <c r="C743" s="8"/>
      <c r="D743" s="7"/>
      <c r="E743" s="7"/>
      <c r="F743" s="7"/>
      <c r="G743" s="7"/>
      <c r="H743" s="143"/>
      <c r="I743" s="7"/>
      <c r="J743" s="7"/>
      <c r="K743" s="7"/>
      <c r="L743" s="7"/>
      <c r="M743" s="7"/>
      <c r="N743" s="7"/>
      <c r="O743" s="7"/>
      <c r="P743" s="7"/>
      <c r="Q743" s="7"/>
      <c r="R743" s="7"/>
      <c r="S743" s="7"/>
      <c r="T743" s="7"/>
      <c r="U743" s="7"/>
      <c r="V743" s="7"/>
      <c r="W743" s="7"/>
    </row>
    <row r="744" spans="1:23">
      <c r="A744" s="7"/>
      <c r="B744" s="8"/>
      <c r="C744" s="8"/>
      <c r="D744" s="7"/>
      <c r="E744" s="7"/>
      <c r="F744" s="7"/>
      <c r="G744" s="7"/>
      <c r="H744" s="143"/>
      <c r="I744" s="7"/>
      <c r="J744" s="7"/>
      <c r="K744" s="7"/>
      <c r="L744" s="7"/>
      <c r="M744" s="7"/>
      <c r="N744" s="7"/>
      <c r="O744" s="7"/>
      <c r="P744" s="7"/>
      <c r="Q744" s="7"/>
      <c r="R744" s="7"/>
      <c r="S744" s="7"/>
      <c r="T744" s="7"/>
      <c r="U744" s="7"/>
      <c r="V744" s="7"/>
      <c r="W744" s="7"/>
    </row>
    <row r="745" spans="1:23">
      <c r="A745" s="7"/>
      <c r="B745" s="8"/>
      <c r="C745" s="8"/>
      <c r="D745" s="7"/>
      <c r="E745" s="7"/>
      <c r="F745" s="7"/>
      <c r="G745" s="7"/>
      <c r="H745" s="143"/>
      <c r="I745" s="7"/>
      <c r="J745" s="7"/>
      <c r="K745" s="7"/>
      <c r="L745" s="7"/>
      <c r="M745" s="7"/>
      <c r="N745" s="7"/>
      <c r="O745" s="7"/>
      <c r="P745" s="7"/>
      <c r="Q745" s="7"/>
      <c r="R745" s="7"/>
      <c r="S745" s="7"/>
      <c r="T745" s="7"/>
      <c r="U745" s="7"/>
      <c r="V745" s="7"/>
      <c r="W745" s="7"/>
    </row>
    <row r="746" spans="1:23">
      <c r="A746" s="7"/>
      <c r="B746" s="8"/>
      <c r="C746" s="8"/>
      <c r="D746" s="7"/>
      <c r="E746" s="7"/>
      <c r="F746" s="7"/>
      <c r="G746" s="7"/>
      <c r="H746" s="143"/>
      <c r="I746" s="7"/>
      <c r="J746" s="7"/>
      <c r="K746" s="7"/>
      <c r="L746" s="7"/>
      <c r="M746" s="7"/>
      <c r="N746" s="7"/>
      <c r="O746" s="7"/>
      <c r="P746" s="7"/>
      <c r="Q746" s="7"/>
      <c r="R746" s="7"/>
      <c r="S746" s="7"/>
      <c r="T746" s="7"/>
      <c r="U746" s="7"/>
      <c r="V746" s="7"/>
      <c r="W746" s="7"/>
    </row>
    <row r="747" spans="1:23">
      <c r="A747" s="7"/>
      <c r="B747" s="8"/>
      <c r="C747" s="8"/>
      <c r="D747" s="7"/>
      <c r="E747" s="7"/>
      <c r="F747" s="7"/>
      <c r="G747" s="7"/>
      <c r="H747" s="143"/>
      <c r="I747" s="7"/>
      <c r="J747" s="7"/>
      <c r="K747" s="7"/>
      <c r="L747" s="7"/>
      <c r="M747" s="7"/>
      <c r="N747" s="7"/>
      <c r="O747" s="7"/>
      <c r="P747" s="7"/>
      <c r="Q747" s="7"/>
      <c r="R747" s="7"/>
      <c r="S747" s="7"/>
      <c r="T747" s="7"/>
      <c r="U747" s="7"/>
      <c r="V747" s="7"/>
      <c r="W747" s="7"/>
    </row>
    <row r="748" spans="1:23">
      <c r="A748" s="7"/>
      <c r="B748" s="8"/>
      <c r="C748" s="8"/>
      <c r="D748" s="7"/>
      <c r="E748" s="7"/>
      <c r="F748" s="7"/>
      <c r="G748" s="7"/>
      <c r="H748" s="143"/>
      <c r="I748" s="7"/>
      <c r="J748" s="7"/>
      <c r="K748" s="7"/>
      <c r="L748" s="7"/>
      <c r="M748" s="7"/>
      <c r="N748" s="7"/>
      <c r="O748" s="7"/>
      <c r="P748" s="7"/>
      <c r="Q748" s="7"/>
      <c r="R748" s="7"/>
      <c r="S748" s="7"/>
      <c r="T748" s="7"/>
      <c r="U748" s="7"/>
      <c r="V748" s="7"/>
      <c r="W748" s="7"/>
    </row>
    <row r="749" spans="1:23">
      <c r="A749" s="7"/>
      <c r="B749" s="8"/>
      <c r="C749" s="8"/>
      <c r="D749" s="7"/>
      <c r="E749" s="7"/>
      <c r="F749" s="7"/>
      <c r="G749" s="7"/>
      <c r="H749" s="143"/>
      <c r="I749" s="7"/>
      <c r="J749" s="7"/>
      <c r="K749" s="7"/>
      <c r="L749" s="7"/>
      <c r="M749" s="7"/>
      <c r="N749" s="7"/>
      <c r="O749" s="7"/>
      <c r="P749" s="7"/>
      <c r="Q749" s="7"/>
      <c r="R749" s="7"/>
      <c r="S749" s="7"/>
      <c r="T749" s="7"/>
      <c r="U749" s="7"/>
      <c r="V749" s="7"/>
      <c r="W749" s="7"/>
    </row>
    <row r="750" spans="1:23">
      <c r="A750" s="7"/>
      <c r="B750" s="8"/>
      <c r="C750" s="8"/>
      <c r="D750" s="7"/>
      <c r="E750" s="7"/>
      <c r="F750" s="7"/>
      <c r="G750" s="7"/>
      <c r="H750" s="143"/>
      <c r="I750" s="7"/>
      <c r="J750" s="7"/>
      <c r="K750" s="7"/>
      <c r="L750" s="7"/>
      <c r="M750" s="7"/>
      <c r="N750" s="7"/>
      <c r="O750" s="7"/>
      <c r="P750" s="7"/>
      <c r="Q750" s="7"/>
      <c r="R750" s="7"/>
      <c r="S750" s="7"/>
      <c r="T750" s="7"/>
      <c r="U750" s="7"/>
      <c r="V750" s="7"/>
      <c r="W750" s="7"/>
    </row>
    <row r="751" spans="1:23">
      <c r="A751" s="7"/>
      <c r="B751" s="8"/>
      <c r="C751" s="8"/>
      <c r="D751" s="7"/>
      <c r="E751" s="7"/>
      <c r="F751" s="7"/>
      <c r="G751" s="7"/>
      <c r="H751" s="143"/>
      <c r="I751" s="7"/>
      <c r="J751" s="7"/>
      <c r="K751" s="7"/>
      <c r="L751" s="7"/>
      <c r="M751" s="7"/>
      <c r="N751" s="7"/>
      <c r="O751" s="7"/>
      <c r="P751" s="7"/>
      <c r="Q751" s="7"/>
      <c r="R751" s="7"/>
      <c r="S751" s="7"/>
      <c r="T751" s="7"/>
      <c r="U751" s="7"/>
      <c r="V751" s="7"/>
      <c r="W751" s="7"/>
    </row>
    <row r="752" spans="1:23">
      <c r="A752" s="7"/>
      <c r="B752" s="8"/>
      <c r="C752" s="8"/>
      <c r="D752" s="7"/>
      <c r="E752" s="7"/>
      <c r="F752" s="7"/>
      <c r="G752" s="7"/>
      <c r="H752" s="143"/>
      <c r="I752" s="7"/>
      <c r="J752" s="7"/>
      <c r="K752" s="7"/>
      <c r="L752" s="7"/>
      <c r="M752" s="7"/>
      <c r="N752" s="7"/>
      <c r="O752" s="7"/>
      <c r="P752" s="7"/>
      <c r="Q752" s="7"/>
      <c r="R752" s="7"/>
      <c r="S752" s="7"/>
      <c r="T752" s="7"/>
      <c r="U752" s="7"/>
      <c r="V752" s="7"/>
      <c r="W752" s="7"/>
    </row>
    <row r="753" spans="1:23">
      <c r="A753" s="7"/>
      <c r="B753" s="8"/>
      <c r="C753" s="8"/>
      <c r="D753" s="7"/>
      <c r="E753" s="7"/>
      <c r="F753" s="7"/>
      <c r="G753" s="7"/>
      <c r="H753" s="143"/>
      <c r="I753" s="7"/>
      <c r="J753" s="7"/>
      <c r="K753" s="7"/>
      <c r="L753" s="7"/>
      <c r="M753" s="7"/>
      <c r="N753" s="7"/>
      <c r="O753" s="7"/>
      <c r="P753" s="7"/>
      <c r="Q753" s="7"/>
      <c r="R753" s="7"/>
      <c r="S753" s="7"/>
      <c r="T753" s="7"/>
      <c r="U753" s="7"/>
      <c r="V753" s="7"/>
      <c r="W753" s="7"/>
    </row>
    <row r="754" spans="1:23">
      <c r="A754" s="7"/>
      <c r="B754" s="8"/>
      <c r="C754" s="8"/>
      <c r="D754" s="7"/>
      <c r="E754" s="7"/>
      <c r="F754" s="7"/>
      <c r="G754" s="7"/>
      <c r="H754" s="143"/>
      <c r="I754" s="7"/>
      <c r="J754" s="7"/>
      <c r="K754" s="7"/>
      <c r="L754" s="7"/>
      <c r="M754" s="7"/>
      <c r="N754" s="7"/>
      <c r="O754" s="7"/>
      <c r="P754" s="7"/>
      <c r="Q754" s="7"/>
      <c r="R754" s="7"/>
      <c r="S754" s="7"/>
      <c r="T754" s="7"/>
      <c r="U754" s="7"/>
      <c r="V754" s="7"/>
      <c r="W754" s="7"/>
    </row>
    <row r="755" spans="1:23">
      <c r="A755" s="7"/>
      <c r="B755" s="8"/>
      <c r="C755" s="8"/>
      <c r="D755" s="7"/>
      <c r="E755" s="7"/>
      <c r="F755" s="7"/>
      <c r="G755" s="7"/>
      <c r="H755" s="143"/>
      <c r="I755" s="7"/>
      <c r="J755" s="7"/>
      <c r="K755" s="7"/>
      <c r="L755" s="7"/>
      <c r="M755" s="7"/>
      <c r="N755" s="7"/>
      <c r="O755" s="7"/>
      <c r="P755" s="7"/>
      <c r="Q755" s="7"/>
      <c r="R755" s="7"/>
      <c r="S755" s="7"/>
      <c r="T755" s="7"/>
      <c r="U755" s="7"/>
      <c r="V755" s="7"/>
      <c r="W755" s="7"/>
    </row>
    <row r="756" spans="1:23">
      <c r="A756" s="7"/>
      <c r="B756" s="8"/>
      <c r="C756" s="8"/>
      <c r="D756" s="7"/>
      <c r="E756" s="7"/>
      <c r="F756" s="7"/>
      <c r="G756" s="7"/>
      <c r="H756" s="143"/>
      <c r="I756" s="7"/>
      <c r="J756" s="7"/>
      <c r="K756" s="7"/>
      <c r="L756" s="7"/>
      <c r="M756" s="7"/>
      <c r="N756" s="7"/>
      <c r="O756" s="7"/>
      <c r="P756" s="7"/>
      <c r="Q756" s="7"/>
      <c r="R756" s="7"/>
      <c r="S756" s="7"/>
      <c r="T756" s="7"/>
      <c r="U756" s="7"/>
      <c r="V756" s="7"/>
      <c r="W756" s="7"/>
    </row>
    <row r="757" spans="1:23">
      <c r="A757" s="7"/>
      <c r="B757" s="8"/>
      <c r="C757" s="8"/>
      <c r="D757" s="7"/>
      <c r="E757" s="7"/>
      <c r="F757" s="7"/>
      <c r="G757" s="7"/>
      <c r="H757" s="143"/>
      <c r="I757" s="7"/>
      <c r="J757" s="7"/>
      <c r="K757" s="7"/>
      <c r="L757" s="7"/>
      <c r="M757" s="7"/>
      <c r="N757" s="7"/>
      <c r="O757" s="7"/>
      <c r="P757" s="7"/>
      <c r="Q757" s="7"/>
      <c r="R757" s="7"/>
      <c r="S757" s="7"/>
      <c r="T757" s="7"/>
      <c r="U757" s="7"/>
      <c r="V757" s="7"/>
      <c r="W757" s="7"/>
    </row>
    <row r="758" spans="1:23">
      <c r="A758" s="7"/>
      <c r="B758" s="8"/>
      <c r="C758" s="8"/>
      <c r="D758" s="7"/>
      <c r="E758" s="7"/>
      <c r="F758" s="7"/>
      <c r="G758" s="7"/>
      <c r="H758" s="143"/>
      <c r="I758" s="7"/>
      <c r="J758" s="7"/>
      <c r="K758" s="7"/>
      <c r="L758" s="7"/>
      <c r="M758" s="7"/>
      <c r="N758" s="7"/>
      <c r="O758" s="7"/>
      <c r="P758" s="7"/>
      <c r="Q758" s="7"/>
      <c r="R758" s="7"/>
      <c r="S758" s="7"/>
      <c r="T758" s="7"/>
      <c r="U758" s="7"/>
      <c r="V758" s="7"/>
      <c r="W758" s="7"/>
    </row>
    <row r="759" spans="1:23">
      <c r="A759" s="7"/>
      <c r="B759" s="8"/>
      <c r="C759" s="8"/>
      <c r="D759" s="7"/>
      <c r="E759" s="7"/>
      <c r="F759" s="7"/>
      <c r="G759" s="7"/>
      <c r="H759" s="143"/>
      <c r="I759" s="7"/>
      <c r="J759" s="7"/>
      <c r="K759" s="7"/>
      <c r="L759" s="7"/>
      <c r="M759" s="7"/>
      <c r="N759" s="7"/>
      <c r="O759" s="7"/>
      <c r="P759" s="7"/>
      <c r="Q759" s="7"/>
      <c r="R759" s="7"/>
      <c r="S759" s="7"/>
      <c r="T759" s="7"/>
      <c r="U759" s="7"/>
      <c r="V759" s="7"/>
      <c r="W759" s="7"/>
    </row>
    <row r="760" spans="1:23">
      <c r="A760" s="7"/>
      <c r="B760" s="8"/>
      <c r="C760" s="8"/>
      <c r="D760" s="7"/>
      <c r="E760" s="7"/>
      <c r="F760" s="7"/>
      <c r="G760" s="7"/>
      <c r="H760" s="143"/>
      <c r="I760" s="7"/>
      <c r="J760" s="7"/>
      <c r="K760" s="7"/>
      <c r="L760" s="7"/>
      <c r="M760" s="7"/>
      <c r="N760" s="7"/>
      <c r="O760" s="7"/>
      <c r="P760" s="7"/>
      <c r="Q760" s="7"/>
      <c r="R760" s="7"/>
      <c r="S760" s="7"/>
      <c r="T760" s="7"/>
      <c r="U760" s="7"/>
      <c r="V760" s="7"/>
      <c r="W760" s="7"/>
    </row>
    <row r="761" spans="1:23">
      <c r="A761" s="7"/>
      <c r="B761" s="8"/>
      <c r="C761" s="8"/>
      <c r="D761" s="7"/>
      <c r="E761" s="7"/>
      <c r="F761" s="7"/>
      <c r="G761" s="7"/>
      <c r="H761" s="143"/>
      <c r="I761" s="7"/>
      <c r="J761" s="7"/>
      <c r="K761" s="7"/>
      <c r="L761" s="7"/>
      <c r="M761" s="7"/>
      <c r="N761" s="7"/>
      <c r="O761" s="7"/>
      <c r="P761" s="7"/>
      <c r="Q761" s="7"/>
      <c r="R761" s="7"/>
      <c r="S761" s="7"/>
      <c r="T761" s="7"/>
      <c r="U761" s="7"/>
      <c r="V761" s="7"/>
      <c r="W761" s="7"/>
    </row>
    <row r="762" spans="1:23">
      <c r="A762" s="7"/>
      <c r="B762" s="8"/>
      <c r="C762" s="8"/>
      <c r="D762" s="7"/>
      <c r="E762" s="7"/>
      <c r="F762" s="7"/>
      <c r="G762" s="7"/>
      <c r="H762" s="143"/>
      <c r="I762" s="7"/>
      <c r="J762" s="7"/>
      <c r="K762" s="7"/>
      <c r="L762" s="7"/>
      <c r="M762" s="7"/>
      <c r="N762" s="7"/>
      <c r="O762" s="7"/>
      <c r="P762" s="7"/>
      <c r="Q762" s="7"/>
      <c r="R762" s="7"/>
      <c r="S762" s="7"/>
      <c r="T762" s="7"/>
      <c r="U762" s="7"/>
      <c r="V762" s="7"/>
      <c r="W762" s="7"/>
    </row>
    <row r="763" spans="1:23">
      <c r="A763" s="7"/>
      <c r="B763" s="8"/>
      <c r="C763" s="8"/>
      <c r="D763" s="7"/>
      <c r="E763" s="7"/>
      <c r="F763" s="7"/>
      <c r="G763" s="7"/>
      <c r="H763" s="143"/>
      <c r="I763" s="7"/>
      <c r="J763" s="7"/>
      <c r="K763" s="7"/>
      <c r="L763" s="7"/>
      <c r="M763" s="7"/>
      <c r="N763" s="7"/>
      <c r="O763" s="7"/>
      <c r="P763" s="7"/>
      <c r="Q763" s="7"/>
      <c r="R763" s="7"/>
      <c r="S763" s="7"/>
      <c r="T763" s="7"/>
      <c r="U763" s="7"/>
      <c r="V763" s="7"/>
      <c r="W763" s="7"/>
    </row>
    <row r="764" spans="1:23">
      <c r="A764" s="7"/>
      <c r="B764" s="8"/>
      <c r="C764" s="8"/>
      <c r="D764" s="7"/>
      <c r="E764" s="7"/>
      <c r="F764" s="7"/>
      <c r="G764" s="7"/>
      <c r="H764" s="143"/>
      <c r="I764" s="7"/>
      <c r="J764" s="7"/>
      <c r="K764" s="7"/>
      <c r="L764" s="7"/>
      <c r="M764" s="7"/>
      <c r="N764" s="7"/>
      <c r="O764" s="7"/>
      <c r="P764" s="7"/>
      <c r="Q764" s="7"/>
      <c r="R764" s="7"/>
      <c r="S764" s="7"/>
      <c r="T764" s="7"/>
      <c r="U764" s="7"/>
      <c r="V764" s="7"/>
      <c r="W764" s="7"/>
    </row>
    <row r="765" spans="1:23">
      <c r="A765" s="7"/>
      <c r="B765" s="8"/>
      <c r="C765" s="8"/>
      <c r="D765" s="7"/>
      <c r="E765" s="7"/>
      <c r="F765" s="7"/>
      <c r="G765" s="7"/>
      <c r="H765" s="143"/>
      <c r="I765" s="7"/>
      <c r="J765" s="7"/>
      <c r="K765" s="7"/>
      <c r="L765" s="7"/>
      <c r="M765" s="7"/>
      <c r="N765" s="7"/>
      <c r="O765" s="7"/>
      <c r="P765" s="7"/>
      <c r="Q765" s="7"/>
      <c r="R765" s="7"/>
      <c r="S765" s="7"/>
      <c r="T765" s="7"/>
      <c r="U765" s="7"/>
      <c r="V765" s="7"/>
      <c r="W765" s="7"/>
    </row>
    <row r="766" spans="1:23">
      <c r="A766" s="7"/>
      <c r="B766" s="8"/>
      <c r="C766" s="8"/>
      <c r="D766" s="7"/>
      <c r="E766" s="7"/>
      <c r="F766" s="7"/>
      <c r="G766" s="7"/>
      <c r="H766" s="143"/>
      <c r="I766" s="7"/>
      <c r="J766" s="7"/>
      <c r="K766" s="7"/>
      <c r="L766" s="7"/>
      <c r="M766" s="7"/>
      <c r="N766" s="7"/>
      <c r="O766" s="7"/>
      <c r="P766" s="7"/>
      <c r="Q766" s="7"/>
      <c r="R766" s="7"/>
      <c r="S766" s="7"/>
      <c r="T766" s="7"/>
      <c r="U766" s="7"/>
      <c r="V766" s="7"/>
      <c r="W766" s="7"/>
    </row>
    <row r="767" spans="1:23">
      <c r="A767" s="7"/>
      <c r="B767" s="8"/>
      <c r="C767" s="8"/>
      <c r="D767" s="7"/>
      <c r="E767" s="7"/>
      <c r="F767" s="7"/>
      <c r="G767" s="7"/>
      <c r="H767" s="143"/>
      <c r="I767" s="7"/>
      <c r="J767" s="7"/>
      <c r="K767" s="7"/>
      <c r="L767" s="7"/>
      <c r="M767" s="7"/>
      <c r="N767" s="7"/>
      <c r="O767" s="7"/>
      <c r="P767" s="7"/>
      <c r="Q767" s="7"/>
      <c r="R767" s="7"/>
      <c r="S767" s="7"/>
      <c r="T767" s="7"/>
      <c r="U767" s="7"/>
      <c r="V767" s="7"/>
      <c r="W767" s="7"/>
    </row>
    <row r="768" spans="1:23">
      <c r="A768" s="7"/>
      <c r="B768" s="8"/>
      <c r="C768" s="8"/>
      <c r="D768" s="7"/>
      <c r="E768" s="7"/>
      <c r="F768" s="7"/>
      <c r="G768" s="7"/>
      <c r="H768" s="143"/>
      <c r="I768" s="7"/>
      <c r="J768" s="7"/>
      <c r="K768" s="7"/>
      <c r="L768" s="7"/>
      <c r="M768" s="7"/>
      <c r="N768" s="7"/>
      <c r="O768" s="7"/>
      <c r="P768" s="7"/>
      <c r="Q768" s="7"/>
      <c r="R768" s="7"/>
      <c r="S768" s="7"/>
      <c r="T768" s="7"/>
      <c r="U768" s="7"/>
      <c r="V768" s="7"/>
      <c r="W768" s="7"/>
    </row>
    <row r="769" spans="1:23">
      <c r="A769" s="7"/>
      <c r="B769" s="8"/>
      <c r="C769" s="8"/>
      <c r="D769" s="7"/>
      <c r="E769" s="7"/>
      <c r="F769" s="7"/>
      <c r="G769" s="7"/>
      <c r="H769" s="143"/>
      <c r="I769" s="7"/>
      <c r="J769" s="7"/>
      <c r="K769" s="7"/>
      <c r="L769" s="7"/>
      <c r="M769" s="7"/>
      <c r="N769" s="7"/>
      <c r="O769" s="7"/>
      <c r="P769" s="7"/>
      <c r="Q769" s="7"/>
      <c r="R769" s="7"/>
      <c r="S769" s="7"/>
      <c r="T769" s="7"/>
      <c r="U769" s="7"/>
      <c r="V769" s="7"/>
      <c r="W769" s="7"/>
    </row>
    <row r="770" spans="1:23">
      <c r="A770" s="7"/>
      <c r="B770" s="8"/>
      <c r="C770" s="8"/>
      <c r="D770" s="7"/>
      <c r="E770" s="7"/>
      <c r="F770" s="7"/>
      <c r="G770" s="7"/>
      <c r="H770" s="143"/>
      <c r="I770" s="7"/>
      <c r="J770" s="7"/>
      <c r="K770" s="7"/>
      <c r="L770" s="7"/>
      <c r="M770" s="7"/>
      <c r="N770" s="7"/>
      <c r="O770" s="7"/>
      <c r="P770" s="7"/>
      <c r="Q770" s="7"/>
      <c r="R770" s="7"/>
      <c r="S770" s="7"/>
      <c r="T770" s="7"/>
      <c r="U770" s="7"/>
      <c r="V770" s="7"/>
      <c r="W770" s="7"/>
    </row>
    <row r="771" spans="1:23">
      <c r="A771" s="7"/>
      <c r="B771" s="8"/>
      <c r="C771" s="8"/>
      <c r="D771" s="7"/>
      <c r="E771" s="7"/>
      <c r="F771" s="7"/>
      <c r="G771" s="7"/>
      <c r="H771" s="143"/>
      <c r="I771" s="7"/>
      <c r="J771" s="7"/>
      <c r="K771" s="7"/>
      <c r="L771" s="7"/>
      <c r="M771" s="7"/>
      <c r="N771" s="7"/>
      <c r="O771" s="7"/>
      <c r="P771" s="7"/>
      <c r="Q771" s="7"/>
      <c r="R771" s="7"/>
      <c r="S771" s="7"/>
      <c r="T771" s="7"/>
      <c r="U771" s="7"/>
      <c r="V771" s="7"/>
      <c r="W771" s="7"/>
    </row>
    <row r="772" spans="1:23">
      <c r="A772" s="7"/>
      <c r="B772" s="8"/>
      <c r="C772" s="8"/>
      <c r="D772" s="7"/>
      <c r="E772" s="7"/>
      <c r="F772" s="7"/>
      <c r="G772" s="7"/>
      <c r="H772" s="143"/>
      <c r="I772" s="7"/>
      <c r="J772" s="7"/>
      <c r="K772" s="7"/>
      <c r="L772" s="7"/>
      <c r="M772" s="7"/>
      <c r="N772" s="7"/>
      <c r="O772" s="7"/>
      <c r="P772" s="7"/>
      <c r="Q772" s="7"/>
      <c r="R772" s="7"/>
      <c r="S772" s="7"/>
      <c r="T772" s="7"/>
      <c r="U772" s="7"/>
      <c r="V772" s="7"/>
      <c r="W772" s="7"/>
    </row>
    <row r="773" spans="1:23">
      <c r="A773" s="7"/>
      <c r="B773" s="8"/>
      <c r="C773" s="8"/>
      <c r="D773" s="7"/>
      <c r="E773" s="7"/>
      <c r="F773" s="7"/>
      <c r="G773" s="7"/>
      <c r="H773" s="143"/>
      <c r="I773" s="7"/>
      <c r="J773" s="7"/>
      <c r="K773" s="7"/>
      <c r="L773" s="7"/>
      <c r="M773" s="7"/>
      <c r="N773" s="7"/>
      <c r="O773" s="7"/>
      <c r="P773" s="7"/>
      <c r="Q773" s="7"/>
      <c r="R773" s="7"/>
      <c r="S773" s="7"/>
      <c r="T773" s="7"/>
      <c r="U773" s="7"/>
      <c r="V773" s="7"/>
      <c r="W773" s="7"/>
    </row>
    <row r="774" spans="1:23">
      <c r="A774" s="7"/>
      <c r="B774" s="8"/>
      <c r="C774" s="8"/>
      <c r="D774" s="7"/>
      <c r="E774" s="7"/>
      <c r="F774" s="7"/>
      <c r="G774" s="7"/>
      <c r="H774" s="143"/>
      <c r="I774" s="7"/>
      <c r="J774" s="7"/>
      <c r="K774" s="7"/>
      <c r="L774" s="7"/>
      <c r="M774" s="7"/>
      <c r="N774" s="7"/>
      <c r="O774" s="7"/>
      <c r="P774" s="7"/>
      <c r="Q774" s="7"/>
      <c r="R774" s="7"/>
      <c r="S774" s="7"/>
      <c r="T774" s="7"/>
      <c r="U774" s="7"/>
      <c r="V774" s="7"/>
      <c r="W774" s="7"/>
    </row>
    <row r="775" spans="1:23">
      <c r="A775" s="7"/>
      <c r="B775" s="8"/>
      <c r="C775" s="8"/>
      <c r="D775" s="7"/>
      <c r="E775" s="7"/>
      <c r="F775" s="7"/>
      <c r="G775" s="7"/>
      <c r="H775" s="143"/>
      <c r="I775" s="7"/>
      <c r="J775" s="7"/>
      <c r="K775" s="7"/>
      <c r="L775" s="7"/>
      <c r="M775" s="7"/>
      <c r="N775" s="7"/>
      <c r="O775" s="7"/>
      <c r="P775" s="7"/>
      <c r="Q775" s="7"/>
      <c r="R775" s="7"/>
      <c r="S775" s="7"/>
      <c r="T775" s="7"/>
      <c r="U775" s="7"/>
      <c r="V775" s="7"/>
      <c r="W775" s="7"/>
    </row>
    <row r="776" spans="1:23">
      <c r="A776" s="7"/>
      <c r="B776" s="8"/>
      <c r="C776" s="8"/>
      <c r="D776" s="7"/>
      <c r="E776" s="7"/>
      <c r="F776" s="7"/>
      <c r="G776" s="7"/>
      <c r="H776" s="143"/>
      <c r="I776" s="7"/>
      <c r="J776" s="7"/>
      <c r="K776" s="7"/>
      <c r="L776" s="7"/>
      <c r="M776" s="7"/>
      <c r="N776" s="7"/>
      <c r="O776" s="7"/>
      <c r="P776" s="7"/>
      <c r="Q776" s="7"/>
      <c r="R776" s="7"/>
      <c r="S776" s="7"/>
      <c r="T776" s="7"/>
      <c r="U776" s="7"/>
      <c r="V776" s="7"/>
      <c r="W776" s="7"/>
    </row>
    <row r="777" spans="1:23">
      <c r="A777" s="7"/>
      <c r="B777" s="8"/>
      <c r="C777" s="8"/>
      <c r="D777" s="7"/>
      <c r="E777" s="7"/>
      <c r="F777" s="7"/>
      <c r="G777" s="7"/>
      <c r="H777" s="143"/>
      <c r="I777" s="7"/>
      <c r="J777" s="7"/>
      <c r="K777" s="7"/>
      <c r="L777" s="7"/>
      <c r="M777" s="7"/>
      <c r="N777" s="7"/>
      <c r="O777" s="7"/>
      <c r="P777" s="7"/>
      <c r="Q777" s="7"/>
      <c r="R777" s="7"/>
      <c r="S777" s="7"/>
      <c r="T777" s="7"/>
      <c r="U777" s="7"/>
      <c r="V777" s="7"/>
      <c r="W777" s="7"/>
    </row>
    <row r="778" spans="1:23">
      <c r="A778" s="7"/>
      <c r="B778" s="8"/>
      <c r="C778" s="8"/>
      <c r="D778" s="7"/>
      <c r="E778" s="7"/>
      <c r="F778" s="7"/>
      <c r="G778" s="7"/>
      <c r="H778" s="143"/>
      <c r="I778" s="7"/>
      <c r="J778" s="7"/>
      <c r="K778" s="7"/>
      <c r="L778" s="7"/>
      <c r="M778" s="7"/>
      <c r="N778" s="7"/>
      <c r="O778" s="7"/>
      <c r="P778" s="7"/>
      <c r="Q778" s="7"/>
      <c r="R778" s="7"/>
      <c r="S778" s="7"/>
      <c r="T778" s="7"/>
      <c r="U778" s="7"/>
      <c r="V778" s="7"/>
      <c r="W778" s="7"/>
    </row>
    <row r="779" spans="1:23">
      <c r="A779" s="7"/>
      <c r="B779" s="8"/>
      <c r="C779" s="8"/>
      <c r="D779" s="7"/>
      <c r="E779" s="7"/>
      <c r="F779" s="7"/>
      <c r="G779" s="7"/>
      <c r="H779" s="143"/>
      <c r="I779" s="7"/>
      <c r="J779" s="7"/>
      <c r="K779" s="7"/>
      <c r="L779" s="7"/>
      <c r="M779" s="7"/>
      <c r="N779" s="7"/>
      <c r="O779" s="7"/>
      <c r="P779" s="7"/>
      <c r="Q779" s="7"/>
      <c r="R779" s="7"/>
      <c r="S779" s="7"/>
      <c r="T779" s="7"/>
      <c r="U779" s="7"/>
      <c r="V779" s="7"/>
      <c r="W779" s="7"/>
    </row>
    <row r="780" spans="1:23">
      <c r="A780" s="7"/>
      <c r="B780" s="8"/>
      <c r="C780" s="8"/>
      <c r="D780" s="7"/>
      <c r="E780" s="7"/>
      <c r="F780" s="7"/>
      <c r="G780" s="7"/>
      <c r="H780" s="143"/>
      <c r="I780" s="7"/>
      <c r="J780" s="7"/>
      <c r="K780" s="7"/>
      <c r="L780" s="7"/>
      <c r="M780" s="7"/>
      <c r="N780" s="7"/>
      <c r="O780" s="7"/>
      <c r="P780" s="7"/>
      <c r="Q780" s="7"/>
      <c r="R780" s="7"/>
      <c r="S780" s="7"/>
      <c r="T780" s="7"/>
      <c r="U780" s="7"/>
      <c r="V780" s="7"/>
      <c r="W780" s="7"/>
    </row>
    <row r="781" spans="1:23">
      <c r="A781" s="7"/>
      <c r="B781" s="8"/>
      <c r="C781" s="8"/>
      <c r="D781" s="7"/>
      <c r="E781" s="7"/>
      <c r="F781" s="7"/>
      <c r="G781" s="7"/>
      <c r="H781" s="143"/>
      <c r="I781" s="7"/>
      <c r="J781" s="7"/>
      <c r="K781" s="7"/>
      <c r="L781" s="7"/>
      <c r="M781" s="7"/>
      <c r="N781" s="7"/>
      <c r="O781" s="7"/>
      <c r="P781" s="7"/>
      <c r="Q781" s="7"/>
      <c r="R781" s="7"/>
      <c r="S781" s="7"/>
      <c r="T781" s="7"/>
      <c r="U781" s="7"/>
      <c r="V781" s="7"/>
      <c r="W781" s="7"/>
    </row>
    <row r="782" spans="1:23">
      <c r="A782" s="7"/>
      <c r="B782" s="8"/>
      <c r="C782" s="8"/>
      <c r="D782" s="7"/>
      <c r="E782" s="7"/>
      <c r="F782" s="7"/>
      <c r="G782" s="7"/>
      <c r="H782" s="143"/>
      <c r="I782" s="7"/>
      <c r="J782" s="7"/>
      <c r="K782" s="7"/>
      <c r="L782" s="7"/>
      <c r="M782" s="7"/>
      <c r="N782" s="7"/>
      <c r="O782" s="7"/>
      <c r="P782" s="7"/>
      <c r="Q782" s="7"/>
      <c r="R782" s="7"/>
      <c r="S782" s="7"/>
      <c r="T782" s="7"/>
      <c r="U782" s="7"/>
      <c r="V782" s="7"/>
      <c r="W782" s="7"/>
    </row>
    <row r="783" spans="1:23">
      <c r="A783" s="7"/>
      <c r="B783" s="8"/>
      <c r="C783" s="8"/>
      <c r="D783" s="7"/>
      <c r="E783" s="7"/>
      <c r="F783" s="7"/>
      <c r="G783" s="7"/>
      <c r="H783" s="143"/>
      <c r="I783" s="7"/>
      <c r="J783" s="7"/>
      <c r="K783" s="7"/>
      <c r="L783" s="7"/>
      <c r="M783" s="7"/>
      <c r="N783" s="7"/>
      <c r="O783" s="7"/>
      <c r="P783" s="7"/>
      <c r="Q783" s="7"/>
      <c r="R783" s="7"/>
      <c r="S783" s="7"/>
      <c r="T783" s="7"/>
      <c r="U783" s="7"/>
      <c r="V783" s="7"/>
      <c r="W783" s="7"/>
    </row>
    <row r="784" spans="1:23">
      <c r="A784" s="7"/>
      <c r="B784" s="8"/>
      <c r="C784" s="8"/>
      <c r="D784" s="7"/>
      <c r="E784" s="7"/>
      <c r="F784" s="7"/>
      <c r="G784" s="7"/>
      <c r="H784" s="143"/>
      <c r="I784" s="7"/>
      <c r="J784" s="7"/>
      <c r="K784" s="7"/>
      <c r="L784" s="7"/>
      <c r="M784" s="7"/>
      <c r="N784" s="7"/>
      <c r="O784" s="7"/>
      <c r="P784" s="7"/>
      <c r="Q784" s="7"/>
      <c r="R784" s="7"/>
      <c r="S784" s="7"/>
      <c r="T784" s="7"/>
      <c r="U784" s="7"/>
      <c r="V784" s="7"/>
      <c r="W784" s="7"/>
    </row>
    <row r="785" spans="1:23">
      <c r="A785" s="7"/>
      <c r="B785" s="8"/>
      <c r="C785" s="8"/>
      <c r="D785" s="7"/>
      <c r="E785" s="7"/>
      <c r="F785" s="7"/>
      <c r="G785" s="7"/>
      <c r="H785" s="143"/>
      <c r="I785" s="7"/>
      <c r="J785" s="7"/>
      <c r="K785" s="7"/>
      <c r="L785" s="7"/>
      <c r="M785" s="7"/>
      <c r="N785" s="7"/>
      <c r="O785" s="7"/>
      <c r="P785" s="7"/>
      <c r="Q785" s="7"/>
      <c r="R785" s="7"/>
      <c r="S785" s="7"/>
      <c r="T785" s="7"/>
      <c r="U785" s="7"/>
      <c r="V785" s="7"/>
      <c r="W785" s="7"/>
    </row>
    <row r="786" spans="1:23">
      <c r="A786" s="7"/>
      <c r="B786" s="8"/>
      <c r="C786" s="8"/>
      <c r="D786" s="7"/>
      <c r="E786" s="7"/>
      <c r="F786" s="7"/>
      <c r="G786" s="7"/>
      <c r="H786" s="143"/>
      <c r="I786" s="7"/>
      <c r="J786" s="7"/>
      <c r="K786" s="7"/>
      <c r="L786" s="7"/>
      <c r="M786" s="7"/>
      <c r="N786" s="7"/>
      <c r="O786" s="7"/>
      <c r="P786" s="7"/>
      <c r="Q786" s="7"/>
      <c r="R786" s="7"/>
      <c r="S786" s="7"/>
      <c r="T786" s="7"/>
      <c r="U786" s="7"/>
      <c r="V786" s="7"/>
      <c r="W786" s="7"/>
    </row>
    <row r="787" spans="1:23">
      <c r="A787" s="7"/>
      <c r="B787" s="8"/>
      <c r="C787" s="8"/>
      <c r="D787" s="7"/>
      <c r="E787" s="7"/>
      <c r="F787" s="7"/>
      <c r="G787" s="7"/>
      <c r="H787" s="143"/>
      <c r="I787" s="7"/>
      <c r="J787" s="7"/>
      <c r="K787" s="7"/>
      <c r="L787" s="7"/>
      <c r="M787" s="7"/>
      <c r="N787" s="7"/>
      <c r="O787" s="7"/>
      <c r="P787" s="7"/>
      <c r="Q787" s="7"/>
      <c r="R787" s="7"/>
      <c r="S787" s="7"/>
      <c r="T787" s="7"/>
      <c r="U787" s="7"/>
      <c r="V787" s="7"/>
      <c r="W787" s="7"/>
    </row>
    <row r="788" spans="1:23">
      <c r="A788" s="7"/>
      <c r="B788" s="8"/>
      <c r="C788" s="8"/>
      <c r="D788" s="7"/>
      <c r="E788" s="7"/>
      <c r="F788" s="7"/>
      <c r="G788" s="7"/>
      <c r="H788" s="143"/>
      <c r="I788" s="7"/>
      <c r="J788" s="7"/>
      <c r="K788" s="7"/>
      <c r="L788" s="7"/>
      <c r="M788" s="7"/>
      <c r="N788" s="7"/>
      <c r="O788" s="7"/>
      <c r="P788" s="7"/>
      <c r="Q788" s="7"/>
      <c r="R788" s="7"/>
      <c r="S788" s="7"/>
      <c r="T788" s="7"/>
      <c r="U788" s="7"/>
      <c r="V788" s="7"/>
      <c r="W788" s="7"/>
    </row>
    <row r="789" spans="1:23">
      <c r="A789" s="7"/>
      <c r="B789" s="8"/>
      <c r="C789" s="8"/>
      <c r="D789" s="7"/>
      <c r="E789" s="7"/>
      <c r="F789" s="7"/>
      <c r="G789" s="7"/>
      <c r="H789" s="143"/>
      <c r="I789" s="7"/>
      <c r="J789" s="7"/>
      <c r="K789" s="7"/>
      <c r="L789" s="7"/>
      <c r="M789" s="7"/>
      <c r="N789" s="7"/>
      <c r="O789" s="7"/>
      <c r="P789" s="7"/>
      <c r="Q789" s="7"/>
      <c r="R789" s="7"/>
      <c r="S789" s="7"/>
      <c r="T789" s="7"/>
      <c r="U789" s="7"/>
      <c r="V789" s="7"/>
      <c r="W789" s="7"/>
    </row>
    <row r="790" spans="1:23">
      <c r="A790" s="7"/>
      <c r="B790" s="8"/>
      <c r="C790" s="8"/>
      <c r="D790" s="7"/>
      <c r="E790" s="7"/>
      <c r="F790" s="7"/>
      <c r="G790" s="7"/>
      <c r="H790" s="143"/>
      <c r="I790" s="7"/>
      <c r="J790" s="7"/>
      <c r="K790" s="7"/>
      <c r="L790" s="7"/>
      <c r="M790" s="7"/>
      <c r="N790" s="7"/>
      <c r="O790" s="7"/>
      <c r="P790" s="7"/>
      <c r="Q790" s="7"/>
      <c r="R790" s="7"/>
      <c r="S790" s="7"/>
      <c r="T790" s="7"/>
      <c r="U790" s="7"/>
      <c r="V790" s="7"/>
      <c r="W790" s="7"/>
    </row>
    <row r="791" spans="1:23">
      <c r="A791" s="7"/>
      <c r="B791" s="8"/>
      <c r="C791" s="8"/>
      <c r="D791" s="7"/>
      <c r="E791" s="7"/>
      <c r="F791" s="7"/>
      <c r="G791" s="7"/>
      <c r="H791" s="143"/>
      <c r="I791" s="7"/>
      <c r="J791" s="7"/>
      <c r="K791" s="7"/>
      <c r="L791" s="7"/>
      <c r="M791" s="7"/>
      <c r="N791" s="7"/>
      <c r="O791" s="7"/>
      <c r="P791" s="7"/>
      <c r="Q791" s="7"/>
      <c r="R791" s="7"/>
      <c r="S791" s="7"/>
      <c r="T791" s="7"/>
      <c r="U791" s="7"/>
      <c r="V791" s="7"/>
      <c r="W791" s="7"/>
    </row>
    <row r="792" spans="1:23">
      <c r="A792" s="7"/>
      <c r="B792" s="8"/>
      <c r="C792" s="8"/>
      <c r="D792" s="7"/>
      <c r="E792" s="7"/>
      <c r="F792" s="7"/>
      <c r="G792" s="7"/>
      <c r="H792" s="143"/>
      <c r="I792" s="7"/>
      <c r="J792" s="7"/>
      <c r="K792" s="7"/>
      <c r="L792" s="7"/>
      <c r="M792" s="7"/>
      <c r="N792" s="7"/>
      <c r="O792" s="7"/>
      <c r="P792" s="7"/>
      <c r="Q792" s="7"/>
      <c r="R792" s="7"/>
      <c r="S792" s="7"/>
      <c r="T792" s="7"/>
      <c r="U792" s="7"/>
      <c r="V792" s="7"/>
      <c r="W792" s="7"/>
    </row>
    <row r="793" spans="1:23">
      <c r="A793" s="7"/>
      <c r="B793" s="8"/>
      <c r="C793" s="8"/>
      <c r="D793" s="7"/>
      <c r="E793" s="7"/>
      <c r="F793" s="7"/>
      <c r="G793" s="7"/>
      <c r="H793" s="143"/>
      <c r="I793" s="7"/>
      <c r="J793" s="7"/>
      <c r="K793" s="7"/>
      <c r="L793" s="7"/>
      <c r="M793" s="7"/>
      <c r="N793" s="7"/>
      <c r="O793" s="7"/>
      <c r="P793" s="7"/>
      <c r="Q793" s="7"/>
      <c r="R793" s="7"/>
      <c r="S793" s="7"/>
      <c r="T793" s="7"/>
      <c r="U793" s="7"/>
      <c r="V793" s="7"/>
      <c r="W793" s="7"/>
    </row>
    <row r="794" spans="1:23">
      <c r="A794" s="7"/>
      <c r="B794" s="8"/>
      <c r="C794" s="8"/>
      <c r="D794" s="7"/>
      <c r="E794" s="7"/>
      <c r="F794" s="7"/>
      <c r="G794" s="7"/>
      <c r="H794" s="143"/>
      <c r="I794" s="7"/>
      <c r="J794" s="7"/>
      <c r="K794" s="7"/>
      <c r="L794" s="7"/>
      <c r="M794" s="7"/>
      <c r="N794" s="7"/>
      <c r="O794" s="7"/>
      <c r="P794" s="7"/>
      <c r="Q794" s="7"/>
      <c r="R794" s="7"/>
      <c r="S794" s="7"/>
      <c r="T794" s="7"/>
      <c r="U794" s="7"/>
      <c r="V794" s="7"/>
      <c r="W794" s="7"/>
    </row>
    <row r="795" spans="1:23">
      <c r="A795" s="7"/>
      <c r="B795" s="8"/>
      <c r="C795" s="8"/>
      <c r="D795" s="7"/>
      <c r="E795" s="7"/>
      <c r="F795" s="7"/>
      <c r="G795" s="7"/>
      <c r="H795" s="143"/>
      <c r="I795" s="7"/>
      <c r="J795" s="7"/>
      <c r="K795" s="7"/>
      <c r="L795" s="7"/>
      <c r="M795" s="7"/>
      <c r="N795" s="7"/>
      <c r="O795" s="7"/>
      <c r="P795" s="7"/>
      <c r="Q795" s="7"/>
      <c r="R795" s="7"/>
      <c r="S795" s="7"/>
      <c r="T795" s="7"/>
      <c r="U795" s="7"/>
      <c r="V795" s="7"/>
      <c r="W795" s="7"/>
    </row>
    <row r="796" spans="1:23">
      <c r="A796" s="7"/>
      <c r="B796" s="8"/>
      <c r="C796" s="8"/>
      <c r="D796" s="7"/>
      <c r="E796" s="7"/>
      <c r="F796" s="7"/>
      <c r="G796" s="7"/>
      <c r="H796" s="143"/>
      <c r="I796" s="7"/>
      <c r="J796" s="7"/>
      <c r="K796" s="7"/>
      <c r="L796" s="7"/>
      <c r="M796" s="7"/>
      <c r="N796" s="7"/>
      <c r="O796" s="7"/>
      <c r="P796" s="7"/>
      <c r="Q796" s="7"/>
      <c r="R796" s="7"/>
      <c r="S796" s="7"/>
      <c r="T796" s="7"/>
      <c r="U796" s="7"/>
      <c r="V796" s="7"/>
      <c r="W796" s="7"/>
    </row>
    <row r="797" spans="1:23">
      <c r="A797" s="7"/>
      <c r="B797" s="8"/>
      <c r="C797" s="8"/>
      <c r="D797" s="7"/>
      <c r="E797" s="7"/>
      <c r="F797" s="7"/>
      <c r="G797" s="7"/>
      <c r="H797" s="143"/>
      <c r="I797" s="7"/>
      <c r="J797" s="7"/>
      <c r="K797" s="7"/>
      <c r="L797" s="7"/>
      <c r="M797" s="7"/>
      <c r="N797" s="7"/>
      <c r="O797" s="7"/>
      <c r="P797" s="7"/>
      <c r="Q797" s="7"/>
      <c r="R797" s="7"/>
      <c r="S797" s="7"/>
      <c r="T797" s="7"/>
      <c r="U797" s="7"/>
      <c r="V797" s="7"/>
      <c r="W797" s="7"/>
    </row>
    <row r="798" spans="1:23">
      <c r="A798" s="7"/>
      <c r="B798" s="8"/>
      <c r="C798" s="8"/>
      <c r="D798" s="7"/>
      <c r="E798" s="7"/>
      <c r="F798" s="7"/>
      <c r="G798" s="7"/>
      <c r="H798" s="143"/>
      <c r="I798" s="7"/>
      <c r="J798" s="7"/>
      <c r="K798" s="7"/>
      <c r="L798" s="7"/>
      <c r="M798" s="7"/>
      <c r="N798" s="7"/>
      <c r="O798" s="7"/>
      <c r="P798" s="7"/>
      <c r="Q798" s="7"/>
      <c r="R798" s="7"/>
      <c r="S798" s="7"/>
      <c r="T798" s="7"/>
      <c r="U798" s="7"/>
      <c r="V798" s="7"/>
      <c r="W798" s="7"/>
    </row>
    <row r="799" spans="1:23">
      <c r="A799" s="7"/>
      <c r="B799" s="8"/>
      <c r="C799" s="8"/>
      <c r="D799" s="7"/>
      <c r="E799" s="7"/>
      <c r="F799" s="7"/>
      <c r="G799" s="7"/>
      <c r="H799" s="143"/>
      <c r="I799" s="7"/>
      <c r="J799" s="7"/>
      <c r="K799" s="7"/>
      <c r="L799" s="7"/>
      <c r="M799" s="7"/>
      <c r="N799" s="7"/>
      <c r="O799" s="7"/>
      <c r="P799" s="7"/>
      <c r="Q799" s="7"/>
      <c r="R799" s="7"/>
      <c r="S799" s="7"/>
      <c r="T799" s="7"/>
      <c r="U799" s="7"/>
      <c r="V799" s="7"/>
      <c r="W799" s="7"/>
    </row>
    <row r="800" spans="1:23">
      <c r="A800" s="7"/>
      <c r="B800" s="8"/>
      <c r="C800" s="8"/>
      <c r="D800" s="7"/>
      <c r="E800" s="7"/>
      <c r="F800" s="7"/>
      <c r="G800" s="7"/>
      <c r="H800" s="143"/>
      <c r="I800" s="7"/>
      <c r="J800" s="7"/>
      <c r="K800" s="7"/>
      <c r="L800" s="7"/>
      <c r="M800" s="7"/>
      <c r="N800" s="7"/>
      <c r="O800" s="7"/>
      <c r="P800" s="7"/>
      <c r="Q800" s="7"/>
      <c r="R800" s="7"/>
      <c r="S800" s="7"/>
      <c r="T800" s="7"/>
      <c r="U800" s="7"/>
      <c r="V800" s="7"/>
      <c r="W800" s="7"/>
    </row>
    <row r="801" spans="1:23">
      <c r="A801" s="7"/>
      <c r="B801" s="8"/>
      <c r="C801" s="8"/>
      <c r="D801" s="7"/>
      <c r="E801" s="7"/>
      <c r="F801" s="7"/>
      <c r="G801" s="7"/>
      <c r="H801" s="143"/>
      <c r="I801" s="7"/>
      <c r="J801" s="7"/>
      <c r="K801" s="7"/>
      <c r="L801" s="7"/>
      <c r="M801" s="7"/>
      <c r="N801" s="7"/>
      <c r="O801" s="7"/>
      <c r="P801" s="7"/>
      <c r="Q801" s="7"/>
      <c r="R801" s="7"/>
      <c r="S801" s="7"/>
      <c r="T801" s="7"/>
      <c r="U801" s="7"/>
      <c r="V801" s="7"/>
      <c r="W801" s="7"/>
    </row>
    <row r="802" spans="1:23">
      <c r="A802" s="7"/>
      <c r="B802" s="8"/>
      <c r="C802" s="8"/>
      <c r="D802" s="7"/>
      <c r="E802" s="7"/>
      <c r="F802" s="7"/>
      <c r="G802" s="7"/>
      <c r="H802" s="143"/>
      <c r="I802" s="7"/>
      <c r="J802" s="7"/>
      <c r="K802" s="7"/>
      <c r="L802" s="7"/>
      <c r="M802" s="7"/>
      <c r="N802" s="7"/>
      <c r="O802" s="7"/>
      <c r="P802" s="7"/>
      <c r="Q802" s="7"/>
      <c r="R802" s="7"/>
      <c r="S802" s="7"/>
      <c r="T802" s="7"/>
      <c r="U802" s="7"/>
      <c r="V802" s="7"/>
      <c r="W802" s="7"/>
    </row>
    <row r="803" spans="1:23">
      <c r="A803" s="7"/>
      <c r="B803" s="8"/>
      <c r="C803" s="8"/>
      <c r="D803" s="7"/>
      <c r="E803" s="7"/>
      <c r="F803" s="7"/>
      <c r="G803" s="7"/>
      <c r="H803" s="143"/>
      <c r="I803" s="7"/>
      <c r="J803" s="7"/>
      <c r="K803" s="7"/>
      <c r="L803" s="7"/>
      <c r="M803" s="7"/>
      <c r="N803" s="7"/>
      <c r="O803" s="7"/>
      <c r="P803" s="7"/>
      <c r="Q803" s="7"/>
      <c r="R803" s="7"/>
      <c r="S803" s="7"/>
      <c r="T803" s="7"/>
      <c r="U803" s="7"/>
      <c r="V803" s="7"/>
      <c r="W803" s="7"/>
    </row>
    <row r="804" spans="1:23">
      <c r="A804" s="7"/>
      <c r="B804" s="8"/>
      <c r="C804" s="8"/>
      <c r="D804" s="7"/>
      <c r="E804" s="7"/>
      <c r="F804" s="7"/>
      <c r="G804" s="7"/>
      <c r="H804" s="143"/>
      <c r="I804" s="7"/>
      <c r="J804" s="7"/>
      <c r="K804" s="7"/>
      <c r="L804" s="7"/>
      <c r="M804" s="7"/>
      <c r="N804" s="7"/>
      <c r="O804" s="7"/>
      <c r="P804" s="7"/>
      <c r="Q804" s="7"/>
      <c r="R804" s="7"/>
      <c r="S804" s="7"/>
      <c r="T804" s="7"/>
      <c r="U804" s="7"/>
      <c r="V804" s="7"/>
      <c r="W804" s="7"/>
    </row>
    <row r="805" spans="1:23">
      <c r="A805" s="7"/>
      <c r="B805" s="8"/>
      <c r="C805" s="8"/>
      <c r="D805" s="7"/>
      <c r="E805" s="7"/>
      <c r="F805" s="7"/>
      <c r="G805" s="7"/>
      <c r="H805" s="143"/>
      <c r="I805" s="7"/>
      <c r="J805" s="7"/>
      <c r="K805" s="7"/>
      <c r="L805" s="7"/>
      <c r="M805" s="7"/>
      <c r="N805" s="7"/>
      <c r="O805" s="7"/>
      <c r="P805" s="7"/>
      <c r="Q805" s="7"/>
      <c r="R805" s="7"/>
      <c r="S805" s="7"/>
      <c r="T805" s="7"/>
      <c r="U805" s="7"/>
      <c r="V805" s="7"/>
      <c r="W805" s="7"/>
    </row>
    <row r="806" spans="1:23">
      <c r="A806" s="7"/>
      <c r="B806" s="8"/>
      <c r="C806" s="8"/>
      <c r="D806" s="7"/>
      <c r="E806" s="7"/>
      <c r="F806" s="7"/>
      <c r="G806" s="7"/>
      <c r="H806" s="143"/>
      <c r="I806" s="7"/>
      <c r="J806" s="7"/>
      <c r="K806" s="7"/>
      <c r="L806" s="7"/>
      <c r="M806" s="7"/>
      <c r="N806" s="7"/>
      <c r="O806" s="7"/>
      <c r="P806" s="7"/>
      <c r="Q806" s="7"/>
      <c r="R806" s="7"/>
      <c r="S806" s="7"/>
      <c r="T806" s="7"/>
      <c r="U806" s="7"/>
      <c r="V806" s="7"/>
      <c r="W806" s="7"/>
    </row>
    <row r="807" spans="1:23">
      <c r="A807" s="7"/>
      <c r="B807" s="8"/>
      <c r="C807" s="8"/>
      <c r="D807" s="7"/>
      <c r="E807" s="7"/>
      <c r="F807" s="7"/>
      <c r="G807" s="7"/>
      <c r="H807" s="143"/>
      <c r="I807" s="7"/>
      <c r="J807" s="7"/>
      <c r="K807" s="7"/>
      <c r="L807" s="7"/>
      <c r="M807" s="7"/>
      <c r="N807" s="7"/>
      <c r="O807" s="7"/>
      <c r="P807" s="7"/>
      <c r="Q807" s="7"/>
      <c r="R807" s="7"/>
      <c r="S807" s="7"/>
      <c r="T807" s="7"/>
      <c r="U807" s="7"/>
      <c r="V807" s="7"/>
      <c r="W807" s="7"/>
    </row>
    <row r="808" spans="1:23">
      <c r="A808" s="7"/>
      <c r="B808" s="8"/>
      <c r="C808" s="8"/>
      <c r="D808" s="7"/>
      <c r="E808" s="7"/>
      <c r="F808" s="7"/>
      <c r="G808" s="7"/>
      <c r="H808" s="143"/>
      <c r="I808" s="7"/>
      <c r="J808" s="7"/>
      <c r="K808" s="7"/>
      <c r="L808" s="7"/>
      <c r="M808" s="7"/>
      <c r="N808" s="7"/>
      <c r="O808" s="7"/>
      <c r="P808" s="7"/>
      <c r="Q808" s="7"/>
      <c r="R808" s="7"/>
      <c r="S808" s="7"/>
      <c r="T808" s="7"/>
      <c r="U808" s="7"/>
      <c r="V808" s="7"/>
      <c r="W808" s="7"/>
    </row>
    <row r="809" spans="1:23">
      <c r="A809" s="7"/>
      <c r="B809" s="8"/>
      <c r="C809" s="8"/>
      <c r="D809" s="7"/>
      <c r="E809" s="7"/>
      <c r="F809" s="7"/>
      <c r="G809" s="7"/>
      <c r="H809" s="143"/>
      <c r="I809" s="7"/>
      <c r="J809" s="7"/>
      <c r="K809" s="7"/>
      <c r="L809" s="7"/>
      <c r="M809" s="7"/>
      <c r="N809" s="7"/>
      <c r="O809" s="7"/>
      <c r="P809" s="7"/>
      <c r="Q809" s="7"/>
      <c r="R809" s="7"/>
      <c r="S809" s="7"/>
      <c r="T809" s="7"/>
      <c r="U809" s="7"/>
      <c r="V809" s="7"/>
      <c r="W809" s="7"/>
    </row>
    <row r="810" spans="1:23">
      <c r="A810" s="7"/>
      <c r="B810" s="8"/>
      <c r="C810" s="8"/>
      <c r="D810" s="7"/>
      <c r="E810" s="7"/>
      <c r="F810" s="7"/>
      <c r="G810" s="7"/>
      <c r="H810" s="143"/>
      <c r="I810" s="7"/>
      <c r="J810" s="7"/>
      <c r="K810" s="7"/>
      <c r="L810" s="7"/>
      <c r="M810" s="7"/>
      <c r="N810" s="7"/>
      <c r="O810" s="7"/>
      <c r="P810" s="7"/>
      <c r="Q810" s="7"/>
      <c r="R810" s="7"/>
      <c r="S810" s="7"/>
      <c r="T810" s="7"/>
      <c r="U810" s="7"/>
      <c r="V810" s="7"/>
      <c r="W810" s="7"/>
    </row>
    <row r="811" spans="1:23">
      <c r="A811" s="7"/>
      <c r="B811" s="8"/>
      <c r="C811" s="8"/>
      <c r="D811" s="7"/>
      <c r="E811" s="7"/>
      <c r="F811" s="7"/>
      <c r="G811" s="7"/>
      <c r="H811" s="143"/>
      <c r="I811" s="7"/>
      <c r="J811" s="7"/>
      <c r="K811" s="7"/>
      <c r="L811" s="7"/>
      <c r="M811" s="7"/>
      <c r="N811" s="7"/>
      <c r="O811" s="7"/>
      <c r="P811" s="7"/>
      <c r="Q811" s="7"/>
      <c r="R811" s="7"/>
      <c r="S811" s="7"/>
      <c r="T811" s="7"/>
      <c r="U811" s="7"/>
      <c r="V811" s="7"/>
      <c r="W811" s="7"/>
    </row>
    <row r="812" spans="1:23">
      <c r="A812" s="7"/>
      <c r="B812" s="8"/>
      <c r="C812" s="8"/>
      <c r="D812" s="7"/>
      <c r="E812" s="7"/>
      <c r="F812" s="7"/>
      <c r="G812" s="7"/>
      <c r="H812" s="143"/>
      <c r="I812" s="7"/>
      <c r="J812" s="7"/>
      <c r="K812" s="7"/>
      <c r="L812" s="7"/>
      <c r="M812" s="7"/>
      <c r="N812" s="7"/>
      <c r="O812" s="7"/>
      <c r="P812" s="7"/>
      <c r="Q812" s="7"/>
      <c r="R812" s="7"/>
      <c r="S812" s="7"/>
      <c r="T812" s="7"/>
      <c r="U812" s="7"/>
      <c r="V812" s="7"/>
      <c r="W812" s="7"/>
    </row>
    <row r="813" spans="1:23">
      <c r="A813" s="7"/>
      <c r="B813" s="8"/>
      <c r="C813" s="8"/>
      <c r="D813" s="7"/>
      <c r="E813" s="7"/>
      <c r="F813" s="7"/>
      <c r="G813" s="7"/>
      <c r="H813" s="143"/>
      <c r="I813" s="7"/>
      <c r="J813" s="7"/>
      <c r="K813" s="7"/>
      <c r="L813" s="7"/>
      <c r="M813" s="7"/>
      <c r="N813" s="7"/>
      <c r="O813" s="7"/>
      <c r="P813" s="7"/>
      <c r="Q813" s="7"/>
      <c r="R813" s="7"/>
      <c r="S813" s="7"/>
      <c r="T813" s="7"/>
      <c r="U813" s="7"/>
      <c r="V813" s="7"/>
      <c r="W813" s="7"/>
    </row>
    <row r="814" spans="1:23">
      <c r="A814" s="7"/>
      <c r="B814" s="8"/>
      <c r="C814" s="8"/>
      <c r="D814" s="7"/>
      <c r="E814" s="7"/>
      <c r="F814" s="7"/>
      <c r="G814" s="7"/>
      <c r="H814" s="143"/>
      <c r="I814" s="7"/>
      <c r="J814" s="7"/>
      <c r="K814" s="7"/>
      <c r="L814" s="7"/>
      <c r="M814" s="7"/>
      <c r="N814" s="7"/>
      <c r="O814" s="7"/>
      <c r="P814" s="7"/>
      <c r="Q814" s="7"/>
      <c r="R814" s="7"/>
      <c r="S814" s="7"/>
      <c r="T814" s="7"/>
      <c r="U814" s="7"/>
      <c r="V814" s="7"/>
      <c r="W814" s="7"/>
    </row>
    <row r="815" spans="1:23">
      <c r="A815" s="7"/>
      <c r="B815" s="8"/>
      <c r="C815" s="8"/>
      <c r="D815" s="7"/>
      <c r="E815" s="7"/>
      <c r="F815" s="7"/>
      <c r="G815" s="7"/>
      <c r="H815" s="143"/>
      <c r="I815" s="7"/>
      <c r="J815" s="7"/>
      <c r="K815" s="7"/>
      <c r="L815" s="7"/>
      <c r="M815" s="7"/>
      <c r="N815" s="7"/>
      <c r="O815" s="7"/>
      <c r="P815" s="7"/>
      <c r="Q815" s="7"/>
      <c r="R815" s="7"/>
      <c r="S815" s="7"/>
      <c r="T815" s="7"/>
      <c r="U815" s="7"/>
      <c r="V815" s="7"/>
      <c r="W815" s="7"/>
    </row>
    <row r="816" spans="1:23">
      <c r="A816" s="7"/>
      <c r="B816" s="8"/>
      <c r="C816" s="8"/>
      <c r="D816" s="7"/>
      <c r="E816" s="7"/>
      <c r="F816" s="7"/>
      <c r="G816" s="7"/>
      <c r="H816" s="143"/>
      <c r="I816" s="7"/>
      <c r="J816" s="7"/>
      <c r="K816" s="7"/>
      <c r="L816" s="7"/>
      <c r="M816" s="7"/>
      <c r="N816" s="7"/>
      <c r="O816" s="7"/>
      <c r="P816" s="7"/>
      <c r="Q816" s="7"/>
      <c r="R816" s="7"/>
      <c r="S816" s="7"/>
      <c r="T816" s="7"/>
      <c r="U816" s="7"/>
      <c r="V816" s="7"/>
      <c r="W816" s="7"/>
    </row>
    <row r="817" spans="1:23">
      <c r="A817" s="7"/>
      <c r="B817" s="8"/>
      <c r="C817" s="8"/>
      <c r="D817" s="7"/>
      <c r="E817" s="7"/>
      <c r="F817" s="7"/>
      <c r="G817" s="7"/>
      <c r="H817" s="143"/>
      <c r="I817" s="7"/>
      <c r="J817" s="7"/>
      <c r="K817" s="7"/>
      <c r="L817" s="7"/>
      <c r="M817" s="7"/>
      <c r="N817" s="7"/>
      <c r="O817" s="7"/>
      <c r="P817" s="7"/>
      <c r="Q817" s="7"/>
      <c r="R817" s="7"/>
      <c r="S817" s="7"/>
      <c r="T817" s="7"/>
      <c r="U817" s="7"/>
      <c r="V817" s="7"/>
      <c r="W817" s="7"/>
    </row>
    <row r="818" spans="1:23">
      <c r="A818" s="7"/>
      <c r="B818" s="8"/>
      <c r="C818" s="8"/>
      <c r="D818" s="7"/>
      <c r="E818" s="7"/>
      <c r="F818" s="7"/>
      <c r="G818" s="7"/>
      <c r="H818" s="143"/>
      <c r="I818" s="7"/>
      <c r="J818" s="7"/>
      <c r="K818" s="7"/>
      <c r="L818" s="7"/>
      <c r="M818" s="7"/>
      <c r="N818" s="7"/>
      <c r="O818" s="7"/>
      <c r="P818" s="7"/>
      <c r="Q818" s="7"/>
      <c r="R818" s="7"/>
      <c r="S818" s="7"/>
      <c r="T818" s="7"/>
      <c r="U818" s="7"/>
      <c r="V818" s="7"/>
      <c r="W818" s="7"/>
    </row>
    <row r="819" spans="1:23">
      <c r="A819" s="7"/>
      <c r="B819" s="8"/>
      <c r="C819" s="8"/>
      <c r="D819" s="7"/>
      <c r="E819" s="7"/>
      <c r="F819" s="7"/>
      <c r="G819" s="7"/>
      <c r="H819" s="143"/>
      <c r="I819" s="7"/>
      <c r="J819" s="7"/>
      <c r="K819" s="7"/>
      <c r="L819" s="7"/>
      <c r="M819" s="7"/>
      <c r="N819" s="7"/>
      <c r="O819" s="7"/>
      <c r="P819" s="7"/>
      <c r="Q819" s="7"/>
      <c r="R819" s="7"/>
      <c r="S819" s="7"/>
      <c r="T819" s="7"/>
      <c r="U819" s="7"/>
      <c r="V819" s="7"/>
      <c r="W819" s="7"/>
    </row>
    <row r="820" spans="1:23">
      <c r="A820" s="7"/>
      <c r="B820" s="8"/>
      <c r="C820" s="8"/>
      <c r="D820" s="7"/>
      <c r="E820" s="7"/>
      <c r="F820" s="7"/>
      <c r="G820" s="7"/>
      <c r="H820" s="143"/>
      <c r="I820" s="7"/>
      <c r="J820" s="7"/>
      <c r="K820" s="7"/>
      <c r="L820" s="7"/>
      <c r="M820" s="7"/>
      <c r="N820" s="7"/>
      <c r="O820" s="7"/>
      <c r="P820" s="7"/>
      <c r="Q820" s="7"/>
      <c r="R820" s="7"/>
      <c r="S820" s="7"/>
      <c r="T820" s="7"/>
      <c r="U820" s="7"/>
      <c r="V820" s="7"/>
      <c r="W820" s="7"/>
    </row>
    <row r="821" spans="1:23">
      <c r="A821" s="7"/>
      <c r="B821" s="8"/>
      <c r="C821" s="8"/>
      <c r="D821" s="7"/>
      <c r="E821" s="7"/>
      <c r="F821" s="7"/>
      <c r="G821" s="7"/>
      <c r="H821" s="143"/>
      <c r="I821" s="7"/>
      <c r="J821" s="7"/>
      <c r="K821" s="7"/>
      <c r="L821" s="7"/>
      <c r="M821" s="7"/>
      <c r="N821" s="7"/>
      <c r="O821" s="7"/>
      <c r="P821" s="7"/>
      <c r="Q821" s="7"/>
      <c r="R821" s="7"/>
      <c r="S821" s="7"/>
      <c r="T821" s="7"/>
      <c r="U821" s="7"/>
      <c r="V821" s="7"/>
      <c r="W821" s="7"/>
    </row>
    <row r="822" spans="1:23">
      <c r="A822" s="7"/>
      <c r="B822" s="8"/>
      <c r="C822" s="8"/>
      <c r="D822" s="7"/>
      <c r="E822" s="7"/>
      <c r="F822" s="7"/>
      <c r="G822" s="7"/>
      <c r="H822" s="143"/>
      <c r="I822" s="7"/>
      <c r="J822" s="7"/>
      <c r="K822" s="7"/>
      <c r="L822" s="7"/>
      <c r="M822" s="7"/>
      <c r="N822" s="7"/>
      <c r="O822" s="7"/>
      <c r="P822" s="7"/>
      <c r="Q822" s="7"/>
      <c r="R822" s="7"/>
      <c r="S822" s="7"/>
      <c r="T822" s="7"/>
      <c r="U822" s="7"/>
      <c r="V822" s="7"/>
      <c r="W822" s="7"/>
    </row>
    <row r="823" spans="1:23">
      <c r="A823" s="7"/>
      <c r="B823" s="8"/>
      <c r="C823" s="8"/>
      <c r="D823" s="7"/>
      <c r="E823" s="7"/>
      <c r="F823" s="7"/>
      <c r="G823" s="7"/>
      <c r="H823" s="143"/>
      <c r="I823" s="7"/>
      <c r="J823" s="7"/>
      <c r="K823" s="7"/>
      <c r="L823" s="7"/>
      <c r="M823" s="7"/>
      <c r="N823" s="7"/>
      <c r="O823" s="7"/>
      <c r="P823" s="7"/>
      <c r="Q823" s="7"/>
      <c r="R823" s="7"/>
      <c r="S823" s="7"/>
      <c r="T823" s="7"/>
      <c r="U823" s="7"/>
      <c r="V823" s="7"/>
      <c r="W823" s="7"/>
    </row>
    <row r="824" spans="1:23">
      <c r="A824" s="7"/>
      <c r="B824" s="8"/>
      <c r="C824" s="8"/>
      <c r="D824" s="7"/>
      <c r="E824" s="7"/>
      <c r="F824" s="7"/>
      <c r="G824" s="7"/>
      <c r="H824" s="143"/>
      <c r="I824" s="7"/>
      <c r="J824" s="7"/>
      <c r="K824" s="7"/>
      <c r="L824" s="7"/>
      <c r="M824" s="7"/>
      <c r="N824" s="7"/>
      <c r="O824" s="7"/>
      <c r="P824" s="7"/>
      <c r="Q824" s="7"/>
      <c r="R824" s="7"/>
      <c r="S824" s="7"/>
      <c r="T824" s="7"/>
      <c r="U824" s="7"/>
      <c r="V824" s="7"/>
      <c r="W824" s="7"/>
    </row>
    <row r="825" spans="1:23">
      <c r="A825" s="7"/>
      <c r="B825" s="8"/>
      <c r="C825" s="8"/>
      <c r="D825" s="7"/>
      <c r="E825" s="7"/>
      <c r="F825" s="7"/>
      <c r="G825" s="7"/>
      <c r="H825" s="143"/>
      <c r="I825" s="7"/>
      <c r="J825" s="7"/>
      <c r="K825" s="7"/>
      <c r="L825" s="7"/>
      <c r="M825" s="7"/>
      <c r="N825" s="7"/>
      <c r="O825" s="7"/>
      <c r="P825" s="7"/>
      <c r="Q825" s="7"/>
      <c r="R825" s="7"/>
      <c r="S825" s="7"/>
      <c r="T825" s="7"/>
      <c r="U825" s="7"/>
      <c r="V825" s="7"/>
      <c r="W825" s="7"/>
    </row>
    <row r="826" spans="1:23">
      <c r="A826" s="7"/>
      <c r="B826" s="8"/>
      <c r="C826" s="8"/>
      <c r="D826" s="7"/>
      <c r="E826" s="7"/>
      <c r="F826" s="7"/>
      <c r="G826" s="7"/>
      <c r="H826" s="143"/>
      <c r="I826" s="7"/>
      <c r="J826" s="7"/>
      <c r="K826" s="7"/>
      <c r="L826" s="7"/>
      <c r="M826" s="7"/>
      <c r="N826" s="7"/>
      <c r="O826" s="7"/>
      <c r="P826" s="7"/>
      <c r="Q826" s="7"/>
      <c r="R826" s="7"/>
      <c r="S826" s="7"/>
      <c r="T826" s="7"/>
      <c r="U826" s="7"/>
      <c r="V826" s="7"/>
      <c r="W826" s="7"/>
    </row>
    <row r="827" spans="1:23">
      <c r="A827" s="7"/>
      <c r="B827" s="8"/>
      <c r="C827" s="8"/>
      <c r="D827" s="7"/>
      <c r="E827" s="7"/>
      <c r="F827" s="7"/>
      <c r="G827" s="7"/>
      <c r="H827" s="143"/>
      <c r="I827" s="7"/>
      <c r="J827" s="7"/>
      <c r="K827" s="7"/>
      <c r="L827" s="7"/>
      <c r="M827" s="7"/>
      <c r="N827" s="7"/>
      <c r="O827" s="7"/>
      <c r="P827" s="7"/>
      <c r="Q827" s="7"/>
      <c r="R827" s="7"/>
      <c r="S827" s="7"/>
      <c r="T827" s="7"/>
      <c r="U827" s="7"/>
      <c r="V827" s="7"/>
      <c r="W827" s="7"/>
    </row>
    <row r="828" spans="1:23">
      <c r="A828" s="7"/>
      <c r="B828" s="8"/>
      <c r="C828" s="8"/>
      <c r="D828" s="7"/>
      <c r="E828" s="7"/>
      <c r="F828" s="7"/>
      <c r="G828" s="7"/>
      <c r="H828" s="143"/>
      <c r="I828" s="7"/>
      <c r="J828" s="7"/>
      <c r="K828" s="7"/>
      <c r="L828" s="7"/>
      <c r="M828" s="7"/>
      <c r="N828" s="7"/>
      <c r="O828" s="7"/>
      <c r="P828" s="7"/>
      <c r="Q828" s="7"/>
      <c r="R828" s="7"/>
      <c r="S828" s="7"/>
      <c r="T828" s="7"/>
      <c r="U828" s="7"/>
      <c r="V828" s="7"/>
      <c r="W828" s="7"/>
    </row>
    <row r="829" spans="1:23">
      <c r="A829" s="7"/>
      <c r="B829" s="8"/>
      <c r="C829" s="8"/>
      <c r="D829" s="7"/>
      <c r="E829" s="7"/>
      <c r="F829" s="7"/>
      <c r="G829" s="7"/>
      <c r="H829" s="143"/>
      <c r="I829" s="7"/>
      <c r="J829" s="7"/>
      <c r="K829" s="7"/>
      <c r="L829" s="7"/>
      <c r="M829" s="7"/>
      <c r="N829" s="7"/>
      <c r="O829" s="7"/>
      <c r="P829" s="7"/>
      <c r="Q829" s="7"/>
      <c r="R829" s="7"/>
      <c r="S829" s="7"/>
      <c r="T829" s="7"/>
      <c r="U829" s="7"/>
      <c r="V829" s="7"/>
      <c r="W829" s="7"/>
    </row>
    <row r="830" spans="1:23">
      <c r="A830" s="7"/>
      <c r="B830" s="8"/>
      <c r="C830" s="8"/>
      <c r="D830" s="7"/>
      <c r="E830" s="7"/>
      <c r="F830" s="7"/>
      <c r="G830" s="7"/>
      <c r="H830" s="143"/>
      <c r="I830" s="7"/>
      <c r="J830" s="7"/>
      <c r="K830" s="7"/>
      <c r="L830" s="7"/>
      <c r="M830" s="7"/>
      <c r="N830" s="7"/>
      <c r="O830" s="7"/>
      <c r="P830" s="7"/>
      <c r="Q830" s="7"/>
      <c r="R830" s="7"/>
      <c r="S830" s="7"/>
      <c r="T830" s="7"/>
      <c r="U830" s="7"/>
      <c r="V830" s="7"/>
      <c r="W830" s="7"/>
    </row>
    <row r="831" spans="1:23">
      <c r="A831" s="7"/>
      <c r="B831" s="8"/>
      <c r="C831" s="8"/>
      <c r="D831" s="7"/>
      <c r="E831" s="7"/>
      <c r="F831" s="7"/>
      <c r="G831" s="7"/>
      <c r="H831" s="143"/>
      <c r="I831" s="7"/>
      <c r="J831" s="7"/>
      <c r="K831" s="7"/>
      <c r="L831" s="7"/>
      <c r="M831" s="7"/>
      <c r="N831" s="7"/>
      <c r="O831" s="7"/>
      <c r="P831" s="7"/>
      <c r="Q831" s="7"/>
      <c r="R831" s="7"/>
      <c r="S831" s="7"/>
      <c r="T831" s="7"/>
      <c r="U831" s="7"/>
      <c r="V831" s="7"/>
      <c r="W831" s="7"/>
    </row>
    <row r="832" spans="1:23">
      <c r="A832" s="7"/>
      <c r="B832" s="8"/>
      <c r="C832" s="8"/>
      <c r="D832" s="7"/>
      <c r="E832" s="7"/>
      <c r="F832" s="7"/>
      <c r="G832" s="7"/>
      <c r="H832" s="143"/>
      <c r="I832" s="7"/>
      <c r="J832" s="7"/>
      <c r="K832" s="7"/>
      <c r="L832" s="7"/>
      <c r="M832" s="7"/>
      <c r="N832" s="7"/>
      <c r="O832" s="7"/>
      <c r="P832" s="7"/>
      <c r="Q832" s="7"/>
      <c r="R832" s="7"/>
      <c r="S832" s="7"/>
      <c r="T832" s="7"/>
      <c r="U832" s="7"/>
      <c r="V832" s="7"/>
      <c r="W832" s="7"/>
    </row>
    <row r="833" spans="1:23">
      <c r="A833" s="7"/>
      <c r="B833" s="8"/>
      <c r="C833" s="8"/>
      <c r="D833" s="7"/>
      <c r="E833" s="7"/>
      <c r="F833" s="7"/>
      <c r="G833" s="7"/>
      <c r="H833" s="143"/>
      <c r="I833" s="7"/>
      <c r="J833" s="7"/>
      <c r="K833" s="7"/>
      <c r="L833" s="7"/>
      <c r="M833" s="7"/>
      <c r="N833" s="7"/>
      <c r="O833" s="7"/>
      <c r="P833" s="7"/>
      <c r="Q833" s="7"/>
      <c r="R833" s="7"/>
      <c r="S833" s="7"/>
      <c r="T833" s="7"/>
      <c r="U833" s="7"/>
      <c r="V833" s="7"/>
      <c r="W833" s="7"/>
    </row>
    <row r="834" spans="1:23">
      <c r="A834" s="7"/>
      <c r="B834" s="8"/>
      <c r="C834" s="8"/>
      <c r="D834" s="7"/>
      <c r="E834" s="7"/>
      <c r="F834" s="7"/>
      <c r="G834" s="7"/>
      <c r="H834" s="143"/>
      <c r="I834" s="7"/>
      <c r="J834" s="7"/>
      <c r="K834" s="7"/>
      <c r="L834" s="7"/>
      <c r="M834" s="7"/>
      <c r="N834" s="7"/>
      <c r="O834" s="7"/>
      <c r="P834" s="7"/>
      <c r="Q834" s="7"/>
      <c r="R834" s="7"/>
      <c r="S834" s="7"/>
      <c r="T834" s="7"/>
      <c r="U834" s="7"/>
      <c r="V834" s="7"/>
      <c r="W834" s="7"/>
    </row>
    <row r="835" spans="1:23">
      <c r="A835" s="7"/>
      <c r="B835" s="8"/>
      <c r="C835" s="8"/>
      <c r="D835" s="7"/>
      <c r="E835" s="7"/>
      <c r="F835" s="7"/>
      <c r="G835" s="7"/>
      <c r="H835" s="143"/>
      <c r="I835" s="7"/>
      <c r="J835" s="7"/>
      <c r="K835" s="7"/>
      <c r="L835" s="7"/>
      <c r="M835" s="7"/>
      <c r="N835" s="7"/>
      <c r="O835" s="7"/>
      <c r="P835" s="7"/>
      <c r="Q835" s="7"/>
      <c r="R835" s="7"/>
      <c r="S835" s="7"/>
      <c r="T835" s="7"/>
      <c r="U835" s="7"/>
      <c r="V835" s="7"/>
      <c r="W835" s="7"/>
    </row>
    <row r="836" spans="1:23">
      <c r="A836" s="7"/>
      <c r="B836" s="8"/>
      <c r="C836" s="8"/>
      <c r="D836" s="7"/>
      <c r="E836" s="7"/>
      <c r="F836" s="7"/>
      <c r="G836" s="7"/>
      <c r="H836" s="143"/>
      <c r="I836" s="7"/>
      <c r="J836" s="7"/>
      <c r="K836" s="7"/>
      <c r="L836" s="7"/>
      <c r="M836" s="7"/>
      <c r="N836" s="7"/>
      <c r="O836" s="7"/>
      <c r="P836" s="7"/>
      <c r="Q836" s="7"/>
      <c r="R836" s="7"/>
      <c r="S836" s="7"/>
      <c r="T836" s="7"/>
      <c r="U836" s="7"/>
      <c r="V836" s="7"/>
      <c r="W836" s="7"/>
    </row>
    <row r="837" spans="1:23">
      <c r="A837" s="7"/>
      <c r="B837" s="8"/>
      <c r="C837" s="8"/>
      <c r="D837" s="7"/>
      <c r="E837" s="7"/>
      <c r="F837" s="7"/>
      <c r="G837" s="7"/>
      <c r="H837" s="143"/>
      <c r="I837" s="7"/>
      <c r="J837" s="7"/>
      <c r="K837" s="7"/>
      <c r="L837" s="7"/>
      <c r="M837" s="7"/>
      <c r="N837" s="7"/>
      <c r="O837" s="7"/>
      <c r="P837" s="7"/>
      <c r="Q837" s="7"/>
      <c r="R837" s="7"/>
      <c r="S837" s="7"/>
      <c r="T837" s="7"/>
      <c r="U837" s="7"/>
      <c r="V837" s="7"/>
      <c r="W837" s="7"/>
    </row>
    <row r="838" spans="1:23">
      <c r="A838" s="7"/>
      <c r="B838" s="8"/>
      <c r="C838" s="8"/>
      <c r="D838" s="7"/>
      <c r="E838" s="7"/>
      <c r="F838" s="7"/>
      <c r="G838" s="7"/>
      <c r="H838" s="143"/>
      <c r="I838" s="7"/>
      <c r="J838" s="7"/>
      <c r="K838" s="7"/>
      <c r="L838" s="7"/>
      <c r="M838" s="7"/>
      <c r="N838" s="7"/>
      <c r="O838" s="7"/>
      <c r="P838" s="7"/>
      <c r="Q838" s="7"/>
      <c r="R838" s="7"/>
      <c r="S838" s="7"/>
      <c r="T838" s="7"/>
      <c r="U838" s="7"/>
      <c r="V838" s="7"/>
      <c r="W838" s="7"/>
    </row>
    <row r="839" spans="1:23">
      <c r="A839" s="7"/>
      <c r="B839" s="8"/>
      <c r="C839" s="8"/>
      <c r="D839" s="7"/>
      <c r="E839" s="7"/>
      <c r="F839" s="7"/>
      <c r="G839" s="7"/>
      <c r="H839" s="143"/>
      <c r="I839" s="7"/>
      <c r="J839" s="7"/>
      <c r="K839" s="7"/>
      <c r="L839" s="7"/>
      <c r="M839" s="7"/>
      <c r="N839" s="7"/>
      <c r="O839" s="7"/>
      <c r="P839" s="7"/>
      <c r="Q839" s="7"/>
      <c r="R839" s="7"/>
      <c r="S839" s="7"/>
      <c r="T839" s="7"/>
      <c r="U839" s="7"/>
      <c r="V839" s="7"/>
      <c r="W839" s="7"/>
    </row>
    <row r="840" spans="1:23">
      <c r="A840" s="7"/>
      <c r="B840" s="8"/>
      <c r="C840" s="8"/>
      <c r="D840" s="7"/>
      <c r="E840" s="7"/>
      <c r="F840" s="7"/>
      <c r="G840" s="7"/>
      <c r="H840" s="143"/>
      <c r="I840" s="7"/>
      <c r="J840" s="7"/>
      <c r="K840" s="7"/>
      <c r="L840" s="7"/>
      <c r="M840" s="7"/>
      <c r="N840" s="7"/>
      <c r="O840" s="7"/>
      <c r="P840" s="7"/>
      <c r="Q840" s="7"/>
      <c r="R840" s="7"/>
      <c r="S840" s="7"/>
      <c r="T840" s="7"/>
      <c r="U840" s="7"/>
      <c r="V840" s="7"/>
      <c r="W840" s="7"/>
    </row>
    <row r="841" spans="1:23">
      <c r="A841" s="7"/>
      <c r="B841" s="8"/>
      <c r="C841" s="8"/>
      <c r="D841" s="7"/>
      <c r="E841" s="7"/>
      <c r="F841" s="7"/>
      <c r="G841" s="7"/>
      <c r="H841" s="143"/>
      <c r="I841" s="7"/>
      <c r="J841" s="7"/>
      <c r="K841" s="7"/>
      <c r="L841" s="7"/>
      <c r="M841" s="7"/>
      <c r="N841" s="7"/>
      <c r="O841" s="7"/>
      <c r="P841" s="7"/>
      <c r="Q841" s="7"/>
      <c r="R841" s="7"/>
      <c r="S841" s="7"/>
      <c r="T841" s="7"/>
      <c r="U841" s="7"/>
      <c r="V841" s="7"/>
      <c r="W841" s="7"/>
    </row>
    <row r="842" spans="1:23">
      <c r="A842" s="7"/>
      <c r="B842" s="8"/>
      <c r="C842" s="8"/>
      <c r="D842" s="7"/>
      <c r="E842" s="7"/>
      <c r="F842" s="7"/>
      <c r="G842" s="7"/>
      <c r="H842" s="143"/>
      <c r="I842" s="7"/>
      <c r="J842" s="7"/>
      <c r="K842" s="7"/>
      <c r="L842" s="7"/>
      <c r="M842" s="7"/>
      <c r="N842" s="7"/>
      <c r="O842" s="7"/>
      <c r="P842" s="7"/>
      <c r="Q842" s="7"/>
      <c r="R842" s="7"/>
      <c r="S842" s="7"/>
      <c r="T842" s="7"/>
      <c r="U842" s="7"/>
      <c r="V842" s="7"/>
      <c r="W842" s="7"/>
    </row>
    <row r="843" spans="1:23">
      <c r="A843" s="7"/>
      <c r="B843" s="8"/>
      <c r="C843" s="8"/>
      <c r="D843" s="7"/>
      <c r="E843" s="7"/>
      <c r="F843" s="7"/>
      <c r="G843" s="7"/>
      <c r="H843" s="143"/>
      <c r="I843" s="7"/>
      <c r="J843" s="7"/>
      <c r="K843" s="7"/>
      <c r="L843" s="7"/>
      <c r="M843" s="7"/>
      <c r="N843" s="7"/>
      <c r="O843" s="7"/>
      <c r="P843" s="7"/>
      <c r="Q843" s="7"/>
      <c r="R843" s="7"/>
      <c r="S843" s="7"/>
      <c r="T843" s="7"/>
      <c r="U843" s="7"/>
      <c r="V843" s="7"/>
      <c r="W843" s="7"/>
    </row>
    <row r="844" spans="1:23">
      <c r="A844" s="7"/>
      <c r="B844" s="8"/>
      <c r="C844" s="8"/>
      <c r="D844" s="7"/>
      <c r="E844" s="7"/>
      <c r="F844" s="7"/>
      <c r="G844" s="7"/>
      <c r="H844" s="143"/>
      <c r="I844" s="7"/>
      <c r="J844" s="7"/>
      <c r="K844" s="7"/>
      <c r="L844" s="7"/>
      <c r="M844" s="7"/>
      <c r="N844" s="7"/>
      <c r="O844" s="7"/>
      <c r="P844" s="7"/>
      <c r="Q844" s="7"/>
      <c r="R844" s="7"/>
      <c r="S844" s="7"/>
      <c r="T844" s="7"/>
      <c r="U844" s="7"/>
      <c r="V844" s="7"/>
      <c r="W844" s="7"/>
    </row>
    <row r="845" spans="1:23">
      <c r="A845" s="7"/>
      <c r="B845" s="8"/>
      <c r="C845" s="8"/>
      <c r="D845" s="7"/>
      <c r="E845" s="7"/>
      <c r="F845" s="7"/>
      <c r="G845" s="7"/>
      <c r="H845" s="143"/>
      <c r="I845" s="7"/>
      <c r="J845" s="7"/>
      <c r="K845" s="7"/>
      <c r="L845" s="7"/>
      <c r="M845" s="7"/>
      <c r="N845" s="7"/>
      <c r="O845" s="7"/>
      <c r="P845" s="7"/>
      <c r="Q845" s="7"/>
      <c r="R845" s="7"/>
      <c r="S845" s="7"/>
      <c r="T845" s="7"/>
      <c r="U845" s="7"/>
      <c r="V845" s="7"/>
      <c r="W845" s="7"/>
    </row>
    <row r="846" spans="1:23">
      <c r="A846" s="7"/>
      <c r="B846" s="8"/>
      <c r="C846" s="8"/>
      <c r="D846" s="7"/>
      <c r="E846" s="7"/>
      <c r="F846" s="7"/>
      <c r="G846" s="7"/>
      <c r="H846" s="143"/>
      <c r="I846" s="7"/>
      <c r="J846" s="7"/>
      <c r="K846" s="7"/>
      <c r="L846" s="7"/>
      <c r="M846" s="7"/>
      <c r="N846" s="7"/>
      <c r="O846" s="7"/>
      <c r="P846" s="7"/>
      <c r="Q846" s="7"/>
      <c r="R846" s="7"/>
      <c r="S846" s="7"/>
      <c r="T846" s="7"/>
      <c r="U846" s="7"/>
      <c r="V846" s="7"/>
      <c r="W846" s="7"/>
    </row>
    <row r="847" spans="1:23">
      <c r="A847" s="7"/>
      <c r="B847" s="8"/>
      <c r="C847" s="8"/>
      <c r="D847" s="7"/>
      <c r="E847" s="7"/>
      <c r="F847" s="7"/>
      <c r="G847" s="7"/>
      <c r="H847" s="143"/>
      <c r="I847" s="7"/>
      <c r="J847" s="7"/>
      <c r="K847" s="7"/>
      <c r="L847" s="7"/>
      <c r="M847" s="7"/>
      <c r="N847" s="7"/>
      <c r="O847" s="7"/>
      <c r="P847" s="7"/>
      <c r="Q847" s="7"/>
      <c r="R847" s="7"/>
      <c r="S847" s="7"/>
      <c r="T847" s="7"/>
      <c r="U847" s="7"/>
      <c r="V847" s="7"/>
      <c r="W847" s="7"/>
    </row>
    <row r="848" spans="1:23">
      <c r="A848" s="7"/>
      <c r="B848" s="8"/>
      <c r="C848" s="8"/>
      <c r="D848" s="7"/>
      <c r="E848" s="7"/>
      <c r="F848" s="7"/>
      <c r="G848" s="7"/>
      <c r="H848" s="143"/>
      <c r="I848" s="7"/>
      <c r="J848" s="7"/>
      <c r="K848" s="7"/>
      <c r="L848" s="7"/>
      <c r="M848" s="7"/>
      <c r="N848" s="7"/>
      <c r="O848" s="7"/>
      <c r="P848" s="7"/>
      <c r="Q848" s="7"/>
      <c r="R848" s="7"/>
      <c r="S848" s="7"/>
      <c r="T848" s="7"/>
      <c r="U848" s="7"/>
      <c r="V848" s="7"/>
      <c r="W848" s="7"/>
    </row>
    <row r="849" spans="1:23">
      <c r="A849" s="7"/>
      <c r="B849" s="8"/>
      <c r="C849" s="8"/>
      <c r="D849" s="7"/>
      <c r="E849" s="7"/>
      <c r="F849" s="7"/>
      <c r="G849" s="7"/>
      <c r="H849" s="143"/>
      <c r="I849" s="7"/>
      <c r="J849" s="7"/>
      <c r="K849" s="7"/>
      <c r="L849" s="7"/>
      <c r="M849" s="7"/>
      <c r="N849" s="7"/>
      <c r="O849" s="7"/>
      <c r="P849" s="7"/>
      <c r="Q849" s="7"/>
      <c r="R849" s="7"/>
      <c r="S849" s="7"/>
      <c r="T849" s="7"/>
      <c r="U849" s="7"/>
      <c r="V849" s="7"/>
      <c r="W849" s="7"/>
    </row>
    <row r="850" spans="1:23">
      <c r="A850" s="7"/>
      <c r="B850" s="8"/>
      <c r="C850" s="8"/>
      <c r="D850" s="7"/>
      <c r="E850" s="7"/>
      <c r="F850" s="7"/>
      <c r="G850" s="7"/>
      <c r="H850" s="143"/>
      <c r="I850" s="7"/>
      <c r="J850" s="7"/>
      <c r="K850" s="7"/>
      <c r="L850" s="7"/>
      <c r="M850" s="7"/>
      <c r="N850" s="7"/>
      <c r="O850" s="7"/>
      <c r="P850" s="7"/>
      <c r="Q850" s="7"/>
      <c r="R850" s="7"/>
      <c r="S850" s="7"/>
      <c r="T850" s="7"/>
      <c r="U850" s="7"/>
      <c r="V850" s="7"/>
      <c r="W850" s="7"/>
    </row>
    <row r="851" spans="1:23">
      <c r="A851" s="7"/>
      <c r="B851" s="8"/>
      <c r="C851" s="8"/>
      <c r="D851" s="7"/>
      <c r="E851" s="7"/>
      <c r="F851" s="7"/>
      <c r="G851" s="7"/>
      <c r="H851" s="143"/>
      <c r="I851" s="7"/>
      <c r="J851" s="7"/>
      <c r="K851" s="7"/>
      <c r="L851" s="7"/>
      <c r="M851" s="7"/>
      <c r="N851" s="7"/>
      <c r="O851" s="7"/>
      <c r="P851" s="7"/>
      <c r="Q851" s="7"/>
      <c r="R851" s="7"/>
      <c r="S851" s="7"/>
      <c r="T851" s="7"/>
      <c r="U851" s="7"/>
      <c r="V851" s="7"/>
      <c r="W851" s="7"/>
    </row>
    <row r="852" spans="1:23">
      <c r="A852" s="7"/>
      <c r="B852" s="8"/>
      <c r="C852" s="8"/>
      <c r="D852" s="7"/>
      <c r="E852" s="7"/>
      <c r="F852" s="7"/>
      <c r="G852" s="7"/>
      <c r="H852" s="143"/>
      <c r="I852" s="7"/>
      <c r="J852" s="7"/>
      <c r="K852" s="7"/>
      <c r="L852" s="7"/>
      <c r="M852" s="7"/>
      <c r="N852" s="7"/>
      <c r="O852" s="7"/>
      <c r="P852" s="7"/>
      <c r="Q852" s="7"/>
      <c r="R852" s="7"/>
      <c r="S852" s="7"/>
      <c r="T852" s="7"/>
      <c r="U852" s="7"/>
      <c r="V852" s="7"/>
      <c r="W852" s="7"/>
    </row>
    <row r="853" spans="1:23">
      <c r="A853" s="7"/>
      <c r="B853" s="8"/>
      <c r="C853" s="8"/>
      <c r="D853" s="7"/>
      <c r="E853" s="7"/>
      <c r="F853" s="7"/>
      <c r="G853" s="7"/>
      <c r="H853" s="143"/>
      <c r="I853" s="7"/>
      <c r="J853" s="7"/>
      <c r="K853" s="7"/>
      <c r="L853" s="7"/>
      <c r="M853" s="7"/>
      <c r="N853" s="7"/>
      <c r="O853" s="7"/>
      <c r="P853" s="7"/>
      <c r="Q853" s="7"/>
      <c r="R853" s="7"/>
      <c r="S853" s="7"/>
      <c r="T853" s="7"/>
      <c r="U853" s="7"/>
      <c r="V853" s="7"/>
      <c r="W853" s="7"/>
    </row>
    <row r="854" spans="1:23">
      <c r="A854" s="7"/>
      <c r="B854" s="8"/>
      <c r="C854" s="8"/>
      <c r="D854" s="7"/>
      <c r="E854" s="7"/>
      <c r="F854" s="7"/>
      <c r="G854" s="7"/>
      <c r="H854" s="143"/>
      <c r="I854" s="7"/>
      <c r="J854" s="7"/>
      <c r="K854" s="7"/>
      <c r="L854" s="7"/>
      <c r="M854" s="7"/>
      <c r="N854" s="7"/>
      <c r="O854" s="7"/>
      <c r="P854" s="7"/>
      <c r="Q854" s="7"/>
      <c r="R854" s="7"/>
      <c r="S854" s="7"/>
      <c r="T854" s="7"/>
      <c r="U854" s="7"/>
      <c r="V854" s="7"/>
      <c r="W854" s="7"/>
    </row>
    <row r="855" spans="1:23">
      <c r="A855" s="7"/>
      <c r="B855" s="8"/>
      <c r="C855" s="8"/>
      <c r="D855" s="7"/>
      <c r="E855" s="7"/>
      <c r="F855" s="7"/>
      <c r="G855" s="7"/>
      <c r="H855" s="143"/>
      <c r="I855" s="7"/>
      <c r="J855" s="7"/>
      <c r="K855" s="7"/>
      <c r="L855" s="7"/>
      <c r="M855" s="7"/>
      <c r="N855" s="7"/>
      <c r="O855" s="7"/>
      <c r="P855" s="7"/>
      <c r="Q855" s="7"/>
      <c r="R855" s="7"/>
      <c r="S855" s="7"/>
      <c r="T855" s="7"/>
      <c r="U855" s="7"/>
      <c r="V855" s="7"/>
      <c r="W855" s="7"/>
    </row>
    <row r="856" spans="1:23">
      <c r="A856" s="7"/>
      <c r="B856" s="8"/>
      <c r="C856" s="8"/>
      <c r="D856" s="7"/>
      <c r="E856" s="7"/>
      <c r="F856" s="7"/>
      <c r="G856" s="7"/>
      <c r="H856" s="143"/>
      <c r="I856" s="7"/>
      <c r="J856" s="7"/>
      <c r="K856" s="7"/>
      <c r="L856" s="7"/>
      <c r="M856" s="7"/>
      <c r="N856" s="7"/>
      <c r="O856" s="7"/>
      <c r="P856" s="7"/>
      <c r="Q856" s="7"/>
      <c r="R856" s="7"/>
      <c r="S856" s="7"/>
      <c r="T856" s="7"/>
      <c r="U856" s="7"/>
      <c r="V856" s="7"/>
      <c r="W856" s="7"/>
    </row>
    <row r="857" spans="1:23">
      <c r="A857" s="7"/>
      <c r="B857" s="8"/>
      <c r="C857" s="8"/>
      <c r="D857" s="7"/>
      <c r="E857" s="7"/>
      <c r="F857" s="7"/>
      <c r="G857" s="7"/>
      <c r="H857" s="143"/>
      <c r="I857" s="7"/>
      <c r="J857" s="7"/>
      <c r="K857" s="7"/>
      <c r="L857" s="7"/>
      <c r="M857" s="7"/>
      <c r="N857" s="7"/>
      <c r="O857" s="7"/>
      <c r="P857" s="7"/>
      <c r="Q857" s="7"/>
      <c r="R857" s="7"/>
      <c r="S857" s="7"/>
      <c r="T857" s="7"/>
      <c r="U857" s="7"/>
      <c r="V857" s="7"/>
      <c r="W857" s="7"/>
    </row>
    <row r="858" spans="1:23">
      <c r="A858" s="7"/>
      <c r="B858" s="8"/>
      <c r="C858" s="8"/>
      <c r="D858" s="7"/>
      <c r="E858" s="7"/>
      <c r="F858" s="7"/>
      <c r="G858" s="7"/>
      <c r="H858" s="143"/>
      <c r="I858" s="7"/>
      <c r="J858" s="7"/>
      <c r="K858" s="7"/>
      <c r="L858" s="7"/>
      <c r="M858" s="7"/>
      <c r="N858" s="7"/>
      <c r="O858" s="7"/>
      <c r="P858" s="7"/>
      <c r="Q858" s="7"/>
      <c r="R858" s="7"/>
      <c r="S858" s="7"/>
      <c r="T858" s="7"/>
      <c r="U858" s="7"/>
      <c r="V858" s="7"/>
      <c r="W858" s="7"/>
    </row>
    <row r="859" spans="1:23">
      <c r="A859" s="7"/>
      <c r="B859" s="8"/>
      <c r="C859" s="8"/>
      <c r="D859" s="7"/>
      <c r="E859" s="7"/>
      <c r="F859" s="7"/>
      <c r="G859" s="7"/>
      <c r="H859" s="143"/>
      <c r="I859" s="7"/>
      <c r="J859" s="7"/>
      <c r="K859" s="7"/>
      <c r="L859" s="7"/>
      <c r="M859" s="7"/>
      <c r="N859" s="7"/>
      <c r="O859" s="7"/>
      <c r="P859" s="7"/>
      <c r="Q859" s="7"/>
      <c r="R859" s="7"/>
      <c r="S859" s="7"/>
      <c r="T859" s="7"/>
      <c r="U859" s="7"/>
      <c r="V859" s="7"/>
      <c r="W859" s="7"/>
    </row>
    <row r="860" spans="1:23">
      <c r="A860" s="7"/>
      <c r="B860" s="8"/>
      <c r="C860" s="8"/>
      <c r="D860" s="7"/>
      <c r="E860" s="7"/>
      <c r="F860" s="7"/>
      <c r="G860" s="7"/>
      <c r="H860" s="143"/>
      <c r="I860" s="7"/>
      <c r="J860" s="7"/>
      <c r="K860" s="7"/>
      <c r="L860" s="7"/>
      <c r="M860" s="7"/>
      <c r="N860" s="7"/>
      <c r="O860" s="7"/>
      <c r="P860" s="7"/>
      <c r="Q860" s="7"/>
      <c r="R860" s="7"/>
      <c r="S860" s="7"/>
      <c r="T860" s="7"/>
      <c r="U860" s="7"/>
      <c r="V860" s="7"/>
      <c r="W860" s="7"/>
    </row>
    <row r="861" spans="1:23">
      <c r="A861" s="7"/>
      <c r="B861" s="8"/>
      <c r="C861" s="8"/>
      <c r="D861" s="7"/>
      <c r="E861" s="7"/>
      <c r="F861" s="7"/>
      <c r="G861" s="7"/>
      <c r="H861" s="143"/>
      <c r="I861" s="7"/>
      <c r="J861" s="7"/>
      <c r="K861" s="7"/>
      <c r="L861" s="7"/>
      <c r="M861" s="7"/>
      <c r="N861" s="7"/>
      <c r="O861" s="7"/>
      <c r="P861" s="7"/>
      <c r="Q861" s="7"/>
      <c r="R861" s="7"/>
      <c r="S861" s="7"/>
      <c r="T861" s="7"/>
      <c r="U861" s="7"/>
      <c r="V861" s="7"/>
      <c r="W861" s="7"/>
    </row>
    <row r="862" spans="1:23">
      <c r="A862" s="7"/>
      <c r="B862" s="8"/>
      <c r="C862" s="8"/>
      <c r="D862" s="7"/>
      <c r="E862" s="7"/>
      <c r="F862" s="7"/>
      <c r="G862" s="7"/>
      <c r="H862" s="143"/>
      <c r="I862" s="7"/>
      <c r="J862" s="7"/>
      <c r="K862" s="7"/>
      <c r="L862" s="7"/>
      <c r="M862" s="7"/>
      <c r="N862" s="7"/>
      <c r="O862" s="7"/>
      <c r="P862" s="7"/>
      <c r="Q862" s="7"/>
      <c r="R862" s="7"/>
      <c r="S862" s="7"/>
      <c r="T862" s="7"/>
      <c r="U862" s="7"/>
      <c r="V862" s="7"/>
      <c r="W862" s="7"/>
    </row>
    <row r="863" spans="1:23">
      <c r="A863" s="7"/>
      <c r="B863" s="8"/>
      <c r="C863" s="8"/>
      <c r="D863" s="7"/>
      <c r="E863" s="7"/>
      <c r="F863" s="7"/>
      <c r="G863" s="7"/>
      <c r="H863" s="143"/>
      <c r="I863" s="7"/>
      <c r="J863" s="7"/>
      <c r="K863" s="7"/>
      <c r="L863" s="7"/>
      <c r="M863" s="7"/>
      <c r="N863" s="7"/>
      <c r="O863" s="7"/>
      <c r="P863" s="7"/>
      <c r="Q863" s="7"/>
      <c r="R863" s="7"/>
      <c r="S863" s="7"/>
      <c r="T863" s="7"/>
      <c r="U863" s="7"/>
      <c r="V863" s="7"/>
      <c r="W863" s="7"/>
    </row>
    <row r="864" spans="1:23">
      <c r="A864" s="7"/>
      <c r="B864" s="8"/>
      <c r="C864" s="8"/>
      <c r="D864" s="7"/>
      <c r="E864" s="7"/>
      <c r="F864" s="7"/>
      <c r="G864" s="7"/>
      <c r="H864" s="143"/>
      <c r="I864" s="7"/>
      <c r="J864" s="7"/>
      <c r="K864" s="7"/>
      <c r="L864" s="7"/>
      <c r="M864" s="7"/>
      <c r="N864" s="7"/>
      <c r="O864" s="7"/>
      <c r="P864" s="7"/>
      <c r="Q864" s="7"/>
      <c r="R864" s="7"/>
      <c r="S864" s="7"/>
      <c r="T864" s="7"/>
      <c r="U864" s="7"/>
      <c r="V864" s="7"/>
      <c r="W864" s="7"/>
    </row>
    <row r="865" spans="1:23">
      <c r="A865" s="7"/>
      <c r="B865" s="8"/>
      <c r="C865" s="8"/>
      <c r="D865" s="7"/>
      <c r="E865" s="7"/>
      <c r="F865" s="7"/>
      <c r="G865" s="7"/>
      <c r="H865" s="143"/>
      <c r="I865" s="7"/>
      <c r="J865" s="7"/>
      <c r="K865" s="7"/>
      <c r="L865" s="7"/>
      <c r="M865" s="7"/>
      <c r="N865" s="7"/>
      <c r="O865" s="7"/>
      <c r="P865" s="7"/>
      <c r="Q865" s="7"/>
      <c r="R865" s="7"/>
      <c r="S865" s="7"/>
      <c r="T865" s="7"/>
      <c r="U865" s="7"/>
      <c r="V865" s="7"/>
      <c r="W865" s="7"/>
    </row>
    <row r="866" spans="1:23">
      <c r="A866" s="7"/>
      <c r="B866" s="8"/>
      <c r="C866" s="8"/>
      <c r="D866" s="7"/>
      <c r="E866" s="7"/>
      <c r="F866" s="7"/>
      <c r="G866" s="7"/>
      <c r="H866" s="143"/>
      <c r="I866" s="7"/>
      <c r="J866" s="7"/>
      <c r="K866" s="7"/>
      <c r="L866" s="7"/>
      <c r="M866" s="7"/>
      <c r="N866" s="7"/>
      <c r="O866" s="7"/>
      <c r="P866" s="7"/>
      <c r="Q866" s="7"/>
      <c r="R866" s="7"/>
      <c r="S866" s="7"/>
      <c r="T866" s="7"/>
      <c r="U866" s="7"/>
      <c r="V866" s="7"/>
      <c r="W866" s="7"/>
    </row>
    <row r="867" spans="1:23">
      <c r="A867" s="7"/>
      <c r="B867" s="8"/>
      <c r="C867" s="8"/>
      <c r="D867" s="7"/>
      <c r="E867" s="7"/>
      <c r="F867" s="7"/>
      <c r="G867" s="7"/>
      <c r="H867" s="143"/>
      <c r="I867" s="7"/>
      <c r="J867" s="7"/>
      <c r="K867" s="7"/>
      <c r="L867" s="7"/>
      <c r="M867" s="7"/>
      <c r="N867" s="7"/>
      <c r="O867" s="7"/>
      <c r="P867" s="7"/>
      <c r="Q867" s="7"/>
      <c r="R867" s="7"/>
      <c r="S867" s="7"/>
      <c r="T867" s="7"/>
      <c r="U867" s="7"/>
      <c r="V867" s="7"/>
      <c r="W867" s="7"/>
    </row>
    <row r="868" spans="1:23">
      <c r="A868" s="7"/>
      <c r="B868" s="8"/>
      <c r="C868" s="8"/>
      <c r="D868" s="7"/>
      <c r="E868" s="7"/>
      <c r="F868" s="7"/>
      <c r="G868" s="7"/>
      <c r="H868" s="143"/>
      <c r="I868" s="7"/>
      <c r="J868" s="7"/>
      <c r="K868" s="7"/>
      <c r="L868" s="7"/>
      <c r="M868" s="7"/>
      <c r="N868" s="7"/>
      <c r="O868" s="7"/>
      <c r="P868" s="7"/>
      <c r="Q868" s="7"/>
      <c r="R868" s="7"/>
      <c r="S868" s="7"/>
      <c r="T868" s="7"/>
      <c r="U868" s="7"/>
      <c r="V868" s="7"/>
      <c r="W868" s="7"/>
    </row>
    <row r="869" spans="1:23">
      <c r="A869" s="7"/>
      <c r="B869" s="8"/>
      <c r="C869" s="8"/>
      <c r="D869" s="7"/>
      <c r="E869" s="7"/>
      <c r="F869" s="7"/>
      <c r="G869" s="7"/>
      <c r="H869" s="143"/>
      <c r="I869" s="7"/>
      <c r="J869" s="7"/>
      <c r="K869" s="7"/>
      <c r="L869" s="7"/>
      <c r="M869" s="7"/>
      <c r="N869" s="7"/>
      <c r="O869" s="7"/>
      <c r="P869" s="7"/>
      <c r="Q869" s="7"/>
      <c r="R869" s="7"/>
      <c r="S869" s="7"/>
      <c r="T869" s="7"/>
      <c r="U869" s="7"/>
      <c r="V869" s="7"/>
      <c r="W869" s="7"/>
    </row>
    <row r="870" spans="1:23">
      <c r="A870" s="7"/>
      <c r="B870" s="8"/>
      <c r="C870" s="8"/>
      <c r="D870" s="7"/>
      <c r="E870" s="7"/>
      <c r="F870" s="7"/>
      <c r="G870" s="7"/>
      <c r="H870" s="143"/>
      <c r="I870" s="7"/>
      <c r="J870" s="7"/>
      <c r="K870" s="7"/>
      <c r="L870" s="7"/>
      <c r="M870" s="7"/>
      <c r="N870" s="7"/>
      <c r="O870" s="7"/>
      <c r="P870" s="7"/>
      <c r="Q870" s="7"/>
      <c r="R870" s="7"/>
      <c r="S870" s="7"/>
      <c r="T870" s="7"/>
      <c r="U870" s="7"/>
      <c r="V870" s="7"/>
      <c r="W870" s="7"/>
    </row>
    <row r="871" spans="1:23">
      <c r="A871" s="7"/>
      <c r="B871" s="8"/>
      <c r="C871" s="8"/>
      <c r="D871" s="7"/>
      <c r="E871" s="7"/>
      <c r="F871" s="7"/>
      <c r="G871" s="7"/>
      <c r="H871" s="143"/>
      <c r="I871" s="7"/>
      <c r="J871" s="7"/>
      <c r="K871" s="7"/>
      <c r="L871" s="7"/>
      <c r="M871" s="7"/>
      <c r="N871" s="7"/>
      <c r="O871" s="7"/>
      <c r="P871" s="7"/>
      <c r="Q871" s="7"/>
      <c r="R871" s="7"/>
      <c r="S871" s="7"/>
      <c r="T871" s="7"/>
      <c r="U871" s="7"/>
      <c r="V871" s="7"/>
      <c r="W871" s="7"/>
    </row>
    <row r="872" spans="1:23">
      <c r="A872" s="7"/>
      <c r="B872" s="8"/>
      <c r="C872" s="8"/>
      <c r="D872" s="7"/>
      <c r="E872" s="7"/>
      <c r="F872" s="7"/>
      <c r="G872" s="7"/>
      <c r="H872" s="143"/>
      <c r="I872" s="7"/>
      <c r="J872" s="7"/>
      <c r="K872" s="7"/>
      <c r="L872" s="7"/>
      <c r="M872" s="7"/>
      <c r="N872" s="7"/>
      <c r="O872" s="7"/>
      <c r="P872" s="7"/>
      <c r="Q872" s="7"/>
      <c r="R872" s="7"/>
      <c r="S872" s="7"/>
      <c r="T872" s="7"/>
      <c r="U872" s="7"/>
      <c r="V872" s="7"/>
      <c r="W872" s="7"/>
    </row>
    <row r="873" spans="1:23">
      <c r="A873" s="7"/>
      <c r="B873" s="8"/>
      <c r="C873" s="8"/>
      <c r="D873" s="7"/>
      <c r="E873" s="7"/>
      <c r="F873" s="7"/>
      <c r="G873" s="7"/>
      <c r="H873" s="143"/>
      <c r="I873" s="7"/>
      <c r="J873" s="7"/>
      <c r="K873" s="7"/>
      <c r="L873" s="7"/>
      <c r="M873" s="7"/>
      <c r="N873" s="7"/>
      <c r="O873" s="7"/>
      <c r="P873" s="7"/>
      <c r="Q873" s="7"/>
      <c r="R873" s="7"/>
      <c r="S873" s="7"/>
      <c r="T873" s="7"/>
      <c r="U873" s="7"/>
      <c r="V873" s="7"/>
      <c r="W873" s="7"/>
    </row>
    <row r="874" spans="1:23">
      <c r="A874" s="7"/>
      <c r="B874" s="8"/>
      <c r="C874" s="8"/>
      <c r="D874" s="7"/>
      <c r="E874" s="7"/>
      <c r="F874" s="7"/>
      <c r="G874" s="7"/>
      <c r="H874" s="143"/>
      <c r="I874" s="7"/>
      <c r="J874" s="7"/>
      <c r="K874" s="7"/>
      <c r="L874" s="7"/>
      <c r="M874" s="7"/>
      <c r="N874" s="7"/>
      <c r="O874" s="7"/>
      <c r="P874" s="7"/>
      <c r="Q874" s="7"/>
      <c r="R874" s="7"/>
      <c r="S874" s="7"/>
      <c r="T874" s="7"/>
      <c r="U874" s="7"/>
      <c r="V874" s="7"/>
      <c r="W874" s="7"/>
    </row>
    <row r="875" spans="1:23">
      <c r="A875" s="7"/>
      <c r="B875" s="8"/>
      <c r="C875" s="8"/>
      <c r="D875" s="7"/>
      <c r="E875" s="7"/>
      <c r="F875" s="7"/>
      <c r="G875" s="7"/>
      <c r="H875" s="143"/>
      <c r="I875" s="7"/>
      <c r="J875" s="7"/>
      <c r="K875" s="7"/>
      <c r="L875" s="7"/>
      <c r="M875" s="7"/>
      <c r="N875" s="7"/>
      <c r="O875" s="7"/>
      <c r="P875" s="7"/>
      <c r="Q875" s="7"/>
      <c r="R875" s="7"/>
      <c r="S875" s="7"/>
      <c r="T875" s="7"/>
      <c r="U875" s="7"/>
      <c r="V875" s="7"/>
      <c r="W875" s="7"/>
    </row>
    <row r="876" spans="1:23">
      <c r="A876" s="7"/>
      <c r="B876" s="8"/>
      <c r="C876" s="8"/>
      <c r="D876" s="7"/>
      <c r="E876" s="7"/>
      <c r="F876" s="7"/>
      <c r="G876" s="7"/>
      <c r="H876" s="143"/>
      <c r="I876" s="7"/>
      <c r="J876" s="7"/>
      <c r="K876" s="7"/>
      <c r="L876" s="7"/>
      <c r="M876" s="7"/>
      <c r="N876" s="7"/>
      <c r="O876" s="7"/>
      <c r="P876" s="7"/>
      <c r="Q876" s="7"/>
      <c r="R876" s="7"/>
      <c r="S876" s="7"/>
      <c r="T876" s="7"/>
      <c r="U876" s="7"/>
      <c r="V876" s="7"/>
      <c r="W876" s="7"/>
    </row>
    <row r="877" spans="1:23">
      <c r="A877" s="7"/>
      <c r="B877" s="8"/>
      <c r="C877" s="8"/>
      <c r="D877" s="7"/>
      <c r="E877" s="7"/>
      <c r="F877" s="7"/>
      <c r="G877" s="7"/>
      <c r="H877" s="143"/>
      <c r="I877" s="7"/>
      <c r="J877" s="7"/>
      <c r="K877" s="7"/>
      <c r="L877" s="7"/>
      <c r="M877" s="7"/>
      <c r="N877" s="7"/>
      <c r="O877" s="7"/>
      <c r="P877" s="7"/>
      <c r="Q877" s="7"/>
      <c r="R877" s="7"/>
      <c r="S877" s="7"/>
      <c r="T877" s="7"/>
      <c r="U877" s="7"/>
      <c r="V877" s="7"/>
      <c r="W877" s="7"/>
    </row>
    <row r="878" spans="1:23">
      <c r="A878" s="7"/>
      <c r="B878" s="8"/>
      <c r="C878" s="8"/>
      <c r="D878" s="7"/>
      <c r="E878" s="7"/>
      <c r="F878" s="7"/>
      <c r="G878" s="7"/>
      <c r="H878" s="143"/>
      <c r="I878" s="7"/>
      <c r="J878" s="7"/>
      <c r="K878" s="7"/>
      <c r="L878" s="7"/>
      <c r="M878" s="7"/>
      <c r="N878" s="7"/>
      <c r="O878" s="7"/>
      <c r="P878" s="7"/>
      <c r="Q878" s="7"/>
      <c r="R878" s="7"/>
      <c r="S878" s="7"/>
      <c r="T878" s="7"/>
      <c r="U878" s="7"/>
      <c r="V878" s="7"/>
      <c r="W878" s="7"/>
    </row>
    <row r="879" spans="1:23">
      <c r="A879" s="7"/>
      <c r="B879" s="8"/>
      <c r="C879" s="8"/>
      <c r="D879" s="7"/>
      <c r="E879" s="7"/>
      <c r="F879" s="7"/>
      <c r="G879" s="7"/>
      <c r="H879" s="143"/>
      <c r="I879" s="7"/>
      <c r="J879" s="7"/>
      <c r="K879" s="7"/>
      <c r="L879" s="7"/>
      <c r="M879" s="7"/>
      <c r="N879" s="7"/>
      <c r="O879" s="7"/>
      <c r="P879" s="7"/>
      <c r="Q879" s="7"/>
      <c r="R879" s="7"/>
      <c r="S879" s="7"/>
      <c r="T879" s="7"/>
      <c r="U879" s="7"/>
      <c r="V879" s="7"/>
      <c r="W879" s="7"/>
    </row>
    <row r="880" spans="1:23">
      <c r="A880" s="7"/>
      <c r="B880" s="8"/>
      <c r="C880" s="8"/>
      <c r="D880" s="7"/>
      <c r="E880" s="7"/>
      <c r="F880" s="7"/>
      <c r="G880" s="7"/>
      <c r="H880" s="143"/>
      <c r="I880" s="7"/>
      <c r="J880" s="7"/>
      <c r="K880" s="7"/>
      <c r="L880" s="7"/>
      <c r="M880" s="7"/>
      <c r="N880" s="7"/>
      <c r="O880" s="7"/>
      <c r="P880" s="7"/>
      <c r="Q880" s="7"/>
      <c r="R880" s="7"/>
      <c r="S880" s="7"/>
      <c r="T880" s="7"/>
      <c r="U880" s="7"/>
      <c r="V880" s="7"/>
      <c r="W880" s="7"/>
    </row>
    <row r="881" spans="1:23">
      <c r="A881" s="7"/>
      <c r="B881" s="8"/>
      <c r="C881" s="8"/>
      <c r="D881" s="7"/>
      <c r="E881" s="7"/>
      <c r="F881" s="7"/>
      <c r="G881" s="7"/>
      <c r="H881" s="143"/>
      <c r="I881" s="7"/>
      <c r="J881" s="7"/>
      <c r="K881" s="7"/>
      <c r="L881" s="7"/>
      <c r="M881" s="7"/>
      <c r="N881" s="7"/>
      <c r="O881" s="7"/>
      <c r="P881" s="7"/>
      <c r="Q881" s="7"/>
      <c r="R881" s="7"/>
      <c r="S881" s="7"/>
      <c r="T881" s="7"/>
      <c r="U881" s="7"/>
      <c r="V881" s="7"/>
      <c r="W881" s="7"/>
    </row>
    <row r="882" spans="1:23">
      <c r="A882" s="7"/>
      <c r="B882" s="8"/>
      <c r="C882" s="8"/>
      <c r="D882" s="7"/>
      <c r="E882" s="7"/>
      <c r="F882" s="7"/>
      <c r="G882" s="7"/>
      <c r="H882" s="143"/>
      <c r="I882" s="7"/>
      <c r="J882" s="7"/>
      <c r="K882" s="7"/>
      <c r="L882" s="7"/>
      <c r="M882" s="7"/>
      <c r="N882" s="7"/>
      <c r="O882" s="7"/>
      <c r="P882" s="7"/>
      <c r="Q882" s="7"/>
      <c r="R882" s="7"/>
      <c r="S882" s="7"/>
      <c r="T882" s="7"/>
      <c r="U882" s="7"/>
      <c r="V882" s="7"/>
      <c r="W882" s="7"/>
    </row>
    <row r="883" spans="1:23">
      <c r="A883" s="7"/>
      <c r="B883" s="8"/>
      <c r="C883" s="8"/>
      <c r="D883" s="7"/>
      <c r="E883" s="7"/>
      <c r="F883" s="7"/>
      <c r="G883" s="7"/>
      <c r="H883" s="143"/>
      <c r="I883" s="7"/>
      <c r="J883" s="7"/>
      <c r="K883" s="7"/>
      <c r="L883" s="7"/>
      <c r="M883" s="7"/>
      <c r="N883" s="7"/>
      <c r="O883" s="7"/>
      <c r="P883" s="7"/>
      <c r="Q883" s="7"/>
      <c r="R883" s="7"/>
      <c r="S883" s="7"/>
      <c r="T883" s="7"/>
      <c r="U883" s="7"/>
      <c r="V883" s="7"/>
      <c r="W883" s="7"/>
    </row>
    <row r="884" spans="1:23">
      <c r="A884" s="7"/>
      <c r="B884" s="8"/>
      <c r="C884" s="8"/>
      <c r="D884" s="7"/>
      <c r="E884" s="7"/>
      <c r="F884" s="7"/>
      <c r="G884" s="7"/>
      <c r="H884" s="143"/>
      <c r="I884" s="7"/>
      <c r="J884" s="7"/>
      <c r="K884" s="7"/>
      <c r="L884" s="7"/>
      <c r="M884" s="7"/>
      <c r="N884" s="7"/>
      <c r="O884" s="7"/>
      <c r="P884" s="7"/>
      <c r="Q884" s="7"/>
      <c r="R884" s="7"/>
      <c r="S884" s="7"/>
      <c r="T884" s="7"/>
      <c r="U884" s="7"/>
      <c r="V884" s="7"/>
      <c r="W884" s="7"/>
    </row>
    <row r="885" spans="1:23">
      <c r="A885" s="7"/>
      <c r="B885" s="8"/>
      <c r="C885" s="8"/>
      <c r="D885" s="7"/>
      <c r="E885" s="7"/>
      <c r="F885" s="7"/>
      <c r="G885" s="7"/>
      <c r="H885" s="143"/>
      <c r="I885" s="7"/>
      <c r="J885" s="7"/>
      <c r="K885" s="7"/>
      <c r="L885" s="7"/>
      <c r="M885" s="7"/>
      <c r="N885" s="7"/>
      <c r="O885" s="7"/>
      <c r="P885" s="7"/>
      <c r="Q885" s="7"/>
      <c r="R885" s="7"/>
      <c r="S885" s="7"/>
      <c r="T885" s="7"/>
      <c r="U885" s="7"/>
      <c r="V885" s="7"/>
      <c r="W885" s="7"/>
    </row>
    <row r="886" spans="1:23">
      <c r="A886" s="7"/>
      <c r="B886" s="8"/>
      <c r="C886" s="8"/>
      <c r="D886" s="7"/>
      <c r="E886" s="7"/>
      <c r="F886" s="7"/>
      <c r="G886" s="7"/>
      <c r="H886" s="143"/>
      <c r="I886" s="7"/>
      <c r="J886" s="7"/>
      <c r="K886" s="7"/>
      <c r="L886" s="7"/>
      <c r="M886" s="7"/>
      <c r="N886" s="7"/>
      <c r="O886" s="7"/>
      <c r="P886" s="7"/>
      <c r="Q886" s="7"/>
      <c r="R886" s="7"/>
      <c r="S886" s="7"/>
      <c r="T886" s="7"/>
      <c r="U886" s="7"/>
      <c r="V886" s="7"/>
      <c r="W886" s="7"/>
    </row>
    <row r="887" spans="1:23">
      <c r="A887" s="7"/>
      <c r="B887" s="8"/>
      <c r="C887" s="8"/>
      <c r="D887" s="7"/>
      <c r="E887" s="7"/>
      <c r="F887" s="7"/>
      <c r="G887" s="7"/>
      <c r="H887" s="143"/>
      <c r="I887" s="7"/>
      <c r="J887" s="7"/>
      <c r="K887" s="7"/>
      <c r="L887" s="7"/>
      <c r="M887" s="7"/>
      <c r="N887" s="7"/>
      <c r="O887" s="7"/>
      <c r="P887" s="7"/>
      <c r="Q887" s="7"/>
      <c r="R887" s="7"/>
      <c r="S887" s="7"/>
      <c r="T887" s="7"/>
      <c r="U887" s="7"/>
      <c r="V887" s="7"/>
      <c r="W887" s="7"/>
    </row>
    <row r="888" spans="1:23">
      <c r="A888" s="7"/>
      <c r="B888" s="8"/>
      <c r="C888" s="8"/>
      <c r="D888" s="7"/>
      <c r="E888" s="7"/>
      <c r="F888" s="7"/>
      <c r="G888" s="7"/>
      <c r="H888" s="143"/>
      <c r="I888" s="7"/>
      <c r="J888" s="7"/>
      <c r="K888" s="7"/>
      <c r="L888" s="7"/>
      <c r="M888" s="7"/>
      <c r="N888" s="7"/>
      <c r="O888" s="7"/>
      <c r="P888" s="7"/>
      <c r="Q888" s="7"/>
      <c r="R888" s="7"/>
      <c r="S888" s="7"/>
      <c r="T888" s="7"/>
      <c r="U888" s="7"/>
      <c r="V888" s="7"/>
      <c r="W888" s="7"/>
    </row>
    <row r="889" spans="1:23">
      <c r="A889" s="7"/>
      <c r="B889" s="8"/>
      <c r="C889" s="8"/>
      <c r="D889" s="7"/>
      <c r="E889" s="7"/>
      <c r="F889" s="7"/>
      <c r="G889" s="7"/>
      <c r="H889" s="143"/>
      <c r="I889" s="7"/>
      <c r="J889" s="7"/>
      <c r="K889" s="7"/>
      <c r="L889" s="7"/>
      <c r="M889" s="7"/>
      <c r="N889" s="7"/>
      <c r="O889" s="7"/>
      <c r="P889" s="7"/>
      <c r="Q889" s="7"/>
      <c r="R889" s="7"/>
      <c r="S889" s="7"/>
      <c r="T889" s="7"/>
      <c r="U889" s="7"/>
      <c r="V889" s="7"/>
      <c r="W889" s="7"/>
    </row>
    <row r="890" spans="1:23">
      <c r="A890" s="7"/>
      <c r="B890" s="8"/>
      <c r="C890" s="8"/>
      <c r="D890" s="7"/>
      <c r="E890" s="7"/>
      <c r="F890" s="7"/>
      <c r="G890" s="7"/>
      <c r="H890" s="143"/>
      <c r="I890" s="7"/>
      <c r="J890" s="7"/>
      <c r="K890" s="7"/>
      <c r="L890" s="7"/>
      <c r="M890" s="7"/>
      <c r="N890" s="7"/>
      <c r="O890" s="7"/>
      <c r="P890" s="7"/>
      <c r="Q890" s="7"/>
      <c r="R890" s="7"/>
      <c r="S890" s="7"/>
      <c r="T890" s="7"/>
      <c r="U890" s="7"/>
      <c r="V890" s="7"/>
      <c r="W890" s="7"/>
    </row>
    <row r="891" spans="1:23">
      <c r="A891" s="7"/>
      <c r="B891" s="8"/>
      <c r="C891" s="8"/>
      <c r="D891" s="7"/>
      <c r="E891" s="7"/>
      <c r="F891" s="7"/>
      <c r="G891" s="7"/>
      <c r="H891" s="143"/>
      <c r="I891" s="7"/>
      <c r="J891" s="7"/>
      <c r="K891" s="7"/>
      <c r="L891" s="7"/>
      <c r="M891" s="7"/>
      <c r="N891" s="7"/>
      <c r="O891" s="7"/>
      <c r="P891" s="7"/>
      <c r="Q891" s="7"/>
      <c r="R891" s="7"/>
      <c r="S891" s="7"/>
      <c r="T891" s="7"/>
      <c r="U891" s="7"/>
      <c r="V891" s="7"/>
      <c r="W891" s="7"/>
    </row>
    <row r="892" spans="1:23">
      <c r="A892" s="7"/>
      <c r="B892" s="8"/>
      <c r="C892" s="8"/>
      <c r="D892" s="7"/>
      <c r="E892" s="7"/>
      <c r="F892" s="7"/>
      <c r="G892" s="7"/>
      <c r="H892" s="143"/>
      <c r="I892" s="7"/>
      <c r="J892" s="7"/>
      <c r="K892" s="7"/>
      <c r="L892" s="7"/>
      <c r="M892" s="7"/>
      <c r="N892" s="7"/>
      <c r="O892" s="7"/>
      <c r="P892" s="7"/>
      <c r="Q892" s="7"/>
      <c r="R892" s="7"/>
      <c r="S892" s="7"/>
      <c r="T892" s="7"/>
      <c r="U892" s="7"/>
      <c r="V892" s="7"/>
      <c r="W892" s="7"/>
    </row>
    <row r="893" spans="1:23">
      <c r="A893" s="7"/>
      <c r="B893" s="8"/>
      <c r="C893" s="8"/>
      <c r="D893" s="7"/>
      <c r="E893" s="7"/>
      <c r="F893" s="7"/>
      <c r="G893" s="7"/>
      <c r="H893" s="143"/>
      <c r="I893" s="7"/>
      <c r="J893" s="7"/>
      <c r="K893" s="7"/>
      <c r="L893" s="7"/>
      <c r="M893" s="7"/>
      <c r="N893" s="7"/>
      <c r="O893" s="7"/>
      <c r="P893" s="7"/>
      <c r="Q893" s="7"/>
      <c r="R893" s="7"/>
      <c r="S893" s="7"/>
      <c r="T893" s="7"/>
      <c r="U893" s="7"/>
      <c r="V893" s="7"/>
      <c r="W893" s="7"/>
    </row>
    <row r="894" spans="1:23">
      <c r="A894" s="7"/>
      <c r="B894" s="8"/>
      <c r="C894" s="8"/>
      <c r="D894" s="7"/>
      <c r="E894" s="7"/>
      <c r="F894" s="7"/>
      <c r="G894" s="7"/>
      <c r="H894" s="143"/>
      <c r="I894" s="7"/>
      <c r="J894" s="7"/>
      <c r="K894" s="7"/>
      <c r="L894" s="7"/>
      <c r="M894" s="7"/>
      <c r="N894" s="7"/>
      <c r="O894" s="7"/>
      <c r="P894" s="7"/>
      <c r="Q894" s="7"/>
      <c r="R894" s="7"/>
      <c r="S894" s="7"/>
      <c r="T894" s="7"/>
      <c r="U894" s="7"/>
      <c r="V894" s="7"/>
      <c r="W894" s="7"/>
    </row>
    <row r="895" spans="1:23">
      <c r="A895" s="7"/>
      <c r="B895" s="8"/>
      <c r="C895" s="8"/>
      <c r="D895" s="7"/>
      <c r="E895" s="7"/>
      <c r="F895" s="7"/>
      <c r="G895" s="7"/>
      <c r="H895" s="143"/>
      <c r="I895" s="7"/>
      <c r="J895" s="7"/>
      <c r="K895" s="7"/>
      <c r="L895" s="7"/>
      <c r="M895" s="7"/>
      <c r="N895" s="7"/>
      <c r="O895" s="7"/>
      <c r="P895" s="7"/>
      <c r="Q895" s="7"/>
      <c r="R895" s="7"/>
      <c r="S895" s="7"/>
      <c r="T895" s="7"/>
      <c r="U895" s="7"/>
      <c r="V895" s="7"/>
      <c r="W895" s="7"/>
    </row>
    <row r="896" spans="1:23">
      <c r="A896" s="7"/>
      <c r="B896" s="8"/>
      <c r="C896" s="8"/>
      <c r="D896" s="7"/>
      <c r="E896" s="7"/>
      <c r="F896" s="7"/>
      <c r="G896" s="7"/>
      <c r="H896" s="143"/>
      <c r="I896" s="7"/>
      <c r="J896" s="7"/>
      <c r="K896" s="7"/>
      <c r="L896" s="7"/>
      <c r="M896" s="7"/>
      <c r="N896" s="7"/>
      <c r="O896" s="7"/>
      <c r="P896" s="7"/>
      <c r="Q896" s="7"/>
      <c r="R896" s="7"/>
      <c r="S896" s="7"/>
      <c r="T896" s="7"/>
      <c r="U896" s="7"/>
      <c r="V896" s="7"/>
      <c r="W896" s="7"/>
    </row>
    <row r="897" spans="1:23">
      <c r="A897" s="7"/>
      <c r="B897" s="8"/>
      <c r="C897" s="8"/>
      <c r="D897" s="7"/>
      <c r="E897" s="7"/>
      <c r="F897" s="7"/>
      <c r="G897" s="7"/>
      <c r="H897" s="143"/>
      <c r="I897" s="7"/>
      <c r="J897" s="7"/>
      <c r="K897" s="7"/>
      <c r="L897" s="7"/>
      <c r="M897" s="7"/>
      <c r="N897" s="7"/>
      <c r="O897" s="7"/>
      <c r="P897" s="7"/>
      <c r="Q897" s="7"/>
      <c r="R897" s="7"/>
      <c r="S897" s="7"/>
      <c r="T897" s="7"/>
      <c r="U897" s="7"/>
      <c r="V897" s="7"/>
      <c r="W897" s="7"/>
    </row>
    <row r="898" spans="1:23">
      <c r="A898" s="7"/>
      <c r="B898" s="8"/>
      <c r="C898" s="8"/>
      <c r="D898" s="7"/>
      <c r="E898" s="7"/>
      <c r="F898" s="7"/>
      <c r="G898" s="7"/>
      <c r="H898" s="143"/>
      <c r="I898" s="7"/>
      <c r="J898" s="7"/>
      <c r="K898" s="7"/>
      <c r="L898" s="7"/>
      <c r="M898" s="7"/>
      <c r="N898" s="7"/>
      <c r="O898" s="7"/>
      <c r="P898" s="7"/>
      <c r="Q898" s="7"/>
      <c r="R898" s="7"/>
      <c r="S898" s="7"/>
      <c r="T898" s="7"/>
      <c r="U898" s="7"/>
      <c r="V898" s="7"/>
      <c r="W898" s="7"/>
    </row>
    <row r="899" spans="1:23">
      <c r="A899" s="7"/>
      <c r="B899" s="8"/>
      <c r="C899" s="8"/>
      <c r="D899" s="7"/>
      <c r="E899" s="7"/>
      <c r="F899" s="7"/>
      <c r="G899" s="7"/>
      <c r="H899" s="143"/>
      <c r="I899" s="7"/>
      <c r="J899" s="7"/>
      <c r="K899" s="7"/>
      <c r="L899" s="7"/>
      <c r="M899" s="7"/>
      <c r="N899" s="7"/>
      <c r="O899" s="7"/>
      <c r="P899" s="7"/>
      <c r="Q899" s="7"/>
      <c r="R899" s="7"/>
      <c r="S899" s="7"/>
      <c r="T899" s="7"/>
      <c r="U899" s="7"/>
      <c r="V899" s="7"/>
      <c r="W899" s="7"/>
    </row>
    <row r="900" spans="1:23">
      <c r="A900" s="7"/>
      <c r="B900" s="8"/>
      <c r="C900" s="8"/>
      <c r="D900" s="7"/>
      <c r="E900" s="7"/>
      <c r="F900" s="7"/>
      <c r="G900" s="7"/>
      <c r="H900" s="143"/>
      <c r="I900" s="7"/>
      <c r="J900" s="7"/>
      <c r="K900" s="7"/>
      <c r="L900" s="7"/>
      <c r="M900" s="7"/>
      <c r="N900" s="7"/>
      <c r="O900" s="7"/>
      <c r="P900" s="7"/>
      <c r="Q900" s="7"/>
      <c r="R900" s="7"/>
      <c r="S900" s="7"/>
      <c r="T900" s="7"/>
      <c r="U900" s="7"/>
      <c r="V900" s="7"/>
      <c r="W900" s="7"/>
    </row>
    <row r="901" spans="1:23">
      <c r="A901" s="7"/>
      <c r="B901" s="8"/>
      <c r="C901" s="8"/>
      <c r="D901" s="7"/>
      <c r="E901" s="7"/>
      <c r="F901" s="7"/>
      <c r="G901" s="7"/>
      <c r="H901" s="143"/>
      <c r="I901" s="7"/>
      <c r="J901" s="7"/>
      <c r="K901" s="7"/>
      <c r="L901" s="7"/>
      <c r="M901" s="7"/>
      <c r="N901" s="7"/>
      <c r="O901" s="7"/>
      <c r="P901" s="7"/>
      <c r="Q901" s="7"/>
      <c r="R901" s="7"/>
      <c r="S901" s="7"/>
      <c r="T901" s="7"/>
      <c r="U901" s="7"/>
      <c r="V901" s="7"/>
      <c r="W901" s="7"/>
    </row>
    <row r="902" spans="1:23">
      <c r="A902" s="7"/>
      <c r="B902" s="8"/>
      <c r="C902" s="8"/>
      <c r="D902" s="7"/>
      <c r="E902" s="7"/>
      <c r="F902" s="7"/>
      <c r="G902" s="7"/>
      <c r="H902" s="143"/>
      <c r="I902" s="7"/>
      <c r="J902" s="7"/>
      <c r="K902" s="7"/>
      <c r="L902" s="7"/>
      <c r="M902" s="7"/>
      <c r="N902" s="7"/>
      <c r="O902" s="7"/>
      <c r="P902" s="7"/>
      <c r="Q902" s="7"/>
      <c r="R902" s="7"/>
      <c r="S902" s="7"/>
      <c r="T902" s="7"/>
      <c r="U902" s="7"/>
      <c r="V902" s="7"/>
      <c r="W902" s="7"/>
    </row>
    <row r="903" spans="1:23">
      <c r="A903" s="7"/>
      <c r="B903" s="8"/>
      <c r="C903" s="8"/>
      <c r="D903" s="7"/>
      <c r="E903" s="7"/>
      <c r="F903" s="7"/>
      <c r="G903" s="7"/>
      <c r="H903" s="143"/>
      <c r="I903" s="7"/>
      <c r="J903" s="7"/>
      <c r="K903" s="7"/>
      <c r="L903" s="7"/>
      <c r="M903" s="7"/>
      <c r="N903" s="7"/>
      <c r="O903" s="7"/>
      <c r="P903" s="7"/>
      <c r="Q903" s="7"/>
      <c r="R903" s="7"/>
      <c r="S903" s="7"/>
      <c r="T903" s="7"/>
      <c r="U903" s="7"/>
      <c r="V903" s="7"/>
      <c r="W903" s="7"/>
    </row>
    <row r="904" spans="1:23">
      <c r="A904" s="7"/>
      <c r="B904" s="8"/>
      <c r="C904" s="8"/>
      <c r="D904" s="7"/>
      <c r="E904" s="7"/>
      <c r="F904" s="7"/>
      <c r="G904" s="7"/>
      <c r="H904" s="143"/>
      <c r="I904" s="7"/>
      <c r="J904" s="7"/>
      <c r="K904" s="7"/>
      <c r="L904" s="7"/>
      <c r="M904" s="7"/>
      <c r="N904" s="7"/>
      <c r="O904" s="7"/>
      <c r="P904" s="7"/>
      <c r="Q904" s="7"/>
      <c r="R904" s="7"/>
      <c r="S904" s="7"/>
      <c r="T904" s="7"/>
      <c r="U904" s="7"/>
      <c r="V904" s="7"/>
      <c r="W904" s="7"/>
    </row>
    <row r="905" spans="1:23">
      <c r="A905" s="7"/>
      <c r="B905" s="8"/>
      <c r="C905" s="8"/>
      <c r="D905" s="7"/>
      <c r="E905" s="7"/>
      <c r="F905" s="7"/>
      <c r="G905" s="7"/>
      <c r="H905" s="143"/>
      <c r="I905" s="7"/>
      <c r="J905" s="7"/>
      <c r="K905" s="7"/>
      <c r="L905" s="7"/>
      <c r="M905" s="7"/>
      <c r="N905" s="7"/>
      <c r="O905" s="7"/>
      <c r="P905" s="7"/>
      <c r="Q905" s="7"/>
      <c r="R905" s="7"/>
      <c r="S905" s="7"/>
      <c r="T905" s="7"/>
      <c r="U905" s="7"/>
      <c r="V905" s="7"/>
      <c r="W905" s="7"/>
    </row>
    <row r="906" spans="1:23">
      <c r="A906" s="7"/>
      <c r="B906" s="8"/>
      <c r="C906" s="8"/>
      <c r="D906" s="7"/>
      <c r="E906" s="7"/>
      <c r="F906" s="7"/>
      <c r="G906" s="7"/>
      <c r="H906" s="143"/>
      <c r="I906" s="7"/>
      <c r="J906" s="7"/>
      <c r="K906" s="7"/>
      <c r="L906" s="7"/>
      <c r="M906" s="7"/>
      <c r="N906" s="7"/>
      <c r="O906" s="7"/>
      <c r="P906" s="7"/>
      <c r="Q906" s="7"/>
      <c r="R906" s="7"/>
      <c r="S906" s="7"/>
      <c r="T906" s="7"/>
      <c r="U906" s="7"/>
      <c r="V906" s="7"/>
      <c r="W906" s="7"/>
    </row>
    <row r="907" spans="1:23">
      <c r="A907" s="7"/>
      <c r="B907" s="8"/>
      <c r="C907" s="8"/>
      <c r="D907" s="7"/>
      <c r="E907" s="7"/>
      <c r="F907" s="7"/>
      <c r="G907" s="7"/>
      <c r="H907" s="143"/>
      <c r="I907" s="7"/>
      <c r="J907" s="7"/>
      <c r="K907" s="7"/>
      <c r="L907" s="7"/>
      <c r="M907" s="7"/>
      <c r="N907" s="7"/>
      <c r="O907" s="7"/>
      <c r="P907" s="7"/>
      <c r="Q907" s="7"/>
      <c r="R907" s="7"/>
      <c r="S907" s="7"/>
      <c r="T907" s="7"/>
      <c r="U907" s="7"/>
      <c r="V907" s="7"/>
      <c r="W907" s="7"/>
    </row>
    <row r="908" spans="1:23">
      <c r="A908" s="7"/>
      <c r="B908" s="8"/>
      <c r="C908" s="8"/>
      <c r="D908" s="7"/>
      <c r="E908" s="7"/>
      <c r="F908" s="7"/>
      <c r="G908" s="7"/>
      <c r="H908" s="143"/>
      <c r="I908" s="7"/>
      <c r="J908" s="7"/>
      <c r="K908" s="7"/>
      <c r="L908" s="7"/>
      <c r="M908" s="7"/>
      <c r="N908" s="7"/>
      <c r="O908" s="7"/>
      <c r="P908" s="7"/>
      <c r="Q908" s="7"/>
      <c r="R908" s="7"/>
      <c r="S908" s="7"/>
      <c r="T908" s="7"/>
      <c r="U908" s="7"/>
      <c r="V908" s="7"/>
      <c r="W908" s="7"/>
    </row>
    <row r="909" spans="1:23">
      <c r="A909" s="7"/>
      <c r="B909" s="8"/>
      <c r="C909" s="8"/>
      <c r="D909" s="7"/>
      <c r="E909" s="7"/>
      <c r="F909" s="7"/>
      <c r="G909" s="7"/>
      <c r="H909" s="143"/>
      <c r="I909" s="7"/>
      <c r="J909" s="7"/>
      <c r="K909" s="7"/>
      <c r="L909" s="7"/>
      <c r="M909" s="7"/>
      <c r="N909" s="7"/>
      <c r="O909" s="7"/>
      <c r="P909" s="7"/>
      <c r="Q909" s="7"/>
      <c r="R909" s="7"/>
      <c r="S909" s="7"/>
      <c r="T909" s="7"/>
      <c r="U909" s="7"/>
      <c r="V909" s="7"/>
      <c r="W909" s="7"/>
    </row>
    <row r="910" spans="1:23">
      <c r="A910" s="7"/>
      <c r="B910" s="8"/>
      <c r="C910" s="8"/>
      <c r="D910" s="7"/>
      <c r="E910" s="7"/>
      <c r="F910" s="7"/>
      <c r="G910" s="7"/>
      <c r="H910" s="143"/>
      <c r="I910" s="7"/>
      <c r="J910" s="7"/>
      <c r="K910" s="7"/>
      <c r="L910" s="7"/>
      <c r="M910" s="7"/>
      <c r="N910" s="7"/>
      <c r="O910" s="7"/>
      <c r="P910" s="7"/>
      <c r="Q910" s="7"/>
      <c r="R910" s="7"/>
      <c r="S910" s="7"/>
      <c r="T910" s="7"/>
      <c r="U910" s="7"/>
      <c r="V910" s="7"/>
      <c r="W910" s="7"/>
    </row>
    <row r="911" spans="1:23">
      <c r="A911" s="7"/>
      <c r="B911" s="8"/>
      <c r="C911" s="8"/>
      <c r="D911" s="7"/>
      <c r="E911" s="7"/>
      <c r="F911" s="7"/>
      <c r="G911" s="7"/>
      <c r="H911" s="143"/>
      <c r="I911" s="7"/>
      <c r="J911" s="7"/>
      <c r="K911" s="7"/>
      <c r="L911" s="7"/>
      <c r="M911" s="7"/>
      <c r="N911" s="7"/>
      <c r="O911" s="7"/>
      <c r="P911" s="7"/>
      <c r="Q911" s="7"/>
      <c r="R911" s="7"/>
      <c r="S911" s="7"/>
      <c r="T911" s="7"/>
      <c r="U911" s="7"/>
      <c r="V911" s="7"/>
      <c r="W911" s="7"/>
    </row>
    <row r="912" spans="1:23">
      <c r="A912" s="7"/>
      <c r="B912" s="8"/>
      <c r="C912" s="8"/>
      <c r="D912" s="7"/>
      <c r="E912" s="7"/>
      <c r="F912" s="7"/>
      <c r="G912" s="7"/>
      <c r="H912" s="143"/>
      <c r="I912" s="7"/>
      <c r="J912" s="7"/>
      <c r="K912" s="7"/>
      <c r="L912" s="7"/>
      <c r="M912" s="7"/>
      <c r="N912" s="7"/>
      <c r="O912" s="7"/>
      <c r="P912" s="7"/>
      <c r="Q912" s="7"/>
      <c r="R912" s="7"/>
      <c r="S912" s="7"/>
      <c r="T912" s="7"/>
      <c r="U912" s="7"/>
      <c r="V912" s="7"/>
      <c r="W912" s="7"/>
    </row>
    <row r="913" spans="1:23">
      <c r="A913" s="7"/>
      <c r="B913" s="8"/>
      <c r="C913" s="8"/>
      <c r="D913" s="7"/>
      <c r="E913" s="7"/>
      <c r="F913" s="7"/>
      <c r="G913" s="7"/>
      <c r="H913" s="143"/>
      <c r="I913" s="7"/>
      <c r="J913" s="7"/>
      <c r="K913" s="7"/>
      <c r="L913" s="7"/>
      <c r="M913" s="7"/>
      <c r="N913" s="7"/>
      <c r="O913" s="7"/>
      <c r="P913" s="7"/>
      <c r="Q913" s="7"/>
      <c r="R913" s="7"/>
      <c r="S913" s="7"/>
      <c r="T913" s="7"/>
      <c r="U913" s="7"/>
      <c r="V913" s="7"/>
      <c r="W913" s="7"/>
    </row>
    <row r="914" spans="1:23">
      <c r="A914" s="7"/>
      <c r="B914" s="8"/>
      <c r="C914" s="8"/>
      <c r="D914" s="7"/>
      <c r="E914" s="7"/>
      <c r="F914" s="7"/>
      <c r="G914" s="7"/>
      <c r="H914" s="143"/>
      <c r="I914" s="7"/>
      <c r="J914" s="7"/>
      <c r="K914" s="7"/>
      <c r="L914" s="7"/>
      <c r="M914" s="7"/>
      <c r="N914" s="7"/>
      <c r="O914" s="7"/>
      <c r="P914" s="7"/>
      <c r="Q914" s="7"/>
      <c r="R914" s="7"/>
      <c r="S914" s="7"/>
      <c r="T914" s="7"/>
      <c r="U914" s="7"/>
      <c r="V914" s="7"/>
      <c r="W914" s="7"/>
    </row>
    <row r="915" spans="1:23">
      <c r="A915" s="7"/>
      <c r="B915" s="8"/>
      <c r="C915" s="8"/>
      <c r="D915" s="7"/>
      <c r="E915" s="7"/>
      <c r="F915" s="7"/>
      <c r="G915" s="7"/>
      <c r="H915" s="143"/>
      <c r="I915" s="7"/>
      <c r="J915" s="7"/>
      <c r="K915" s="7"/>
      <c r="L915" s="7"/>
      <c r="M915" s="7"/>
      <c r="N915" s="7"/>
      <c r="O915" s="7"/>
      <c r="P915" s="7"/>
      <c r="Q915" s="7"/>
      <c r="R915" s="7"/>
      <c r="S915" s="7"/>
      <c r="T915" s="7"/>
      <c r="U915" s="7"/>
      <c r="V915" s="7"/>
      <c r="W915" s="7"/>
    </row>
    <row r="916" spans="1:23">
      <c r="A916" s="7"/>
      <c r="B916" s="8"/>
      <c r="C916" s="8"/>
      <c r="D916" s="7"/>
      <c r="E916" s="7"/>
      <c r="F916" s="7"/>
      <c r="G916" s="7"/>
      <c r="H916" s="143"/>
      <c r="I916" s="7"/>
      <c r="J916" s="7"/>
      <c r="K916" s="7"/>
      <c r="L916" s="7"/>
      <c r="M916" s="7"/>
      <c r="N916" s="7"/>
      <c r="O916" s="7"/>
      <c r="P916" s="7"/>
      <c r="Q916" s="7"/>
      <c r="R916" s="7"/>
      <c r="S916" s="7"/>
      <c r="T916" s="7"/>
      <c r="U916" s="7"/>
      <c r="V916" s="7"/>
      <c r="W916" s="7"/>
    </row>
    <row r="917" spans="1:23">
      <c r="A917" s="7"/>
      <c r="B917" s="8"/>
      <c r="C917" s="8"/>
      <c r="D917" s="7"/>
      <c r="E917" s="7"/>
      <c r="F917" s="7"/>
      <c r="G917" s="7"/>
      <c r="H917" s="143"/>
      <c r="I917" s="7"/>
      <c r="J917" s="7"/>
      <c r="K917" s="7"/>
      <c r="L917" s="7"/>
      <c r="M917" s="7"/>
      <c r="N917" s="7"/>
      <c r="O917" s="7"/>
      <c r="P917" s="7"/>
      <c r="Q917" s="7"/>
      <c r="R917" s="7"/>
      <c r="S917" s="7"/>
      <c r="T917" s="7"/>
      <c r="U917" s="7"/>
      <c r="V917" s="7"/>
      <c r="W917" s="7"/>
    </row>
    <row r="918" spans="1:23">
      <c r="A918" s="7"/>
      <c r="B918" s="8"/>
      <c r="C918" s="8"/>
      <c r="D918" s="7"/>
      <c r="E918" s="7"/>
      <c r="F918" s="7"/>
      <c r="G918" s="7"/>
      <c r="H918" s="143"/>
      <c r="I918" s="7"/>
      <c r="J918" s="7"/>
      <c r="K918" s="7"/>
      <c r="L918" s="7"/>
      <c r="M918" s="7"/>
      <c r="N918" s="7"/>
      <c r="O918" s="7"/>
      <c r="P918" s="7"/>
      <c r="Q918" s="7"/>
      <c r="R918" s="7"/>
      <c r="S918" s="7"/>
      <c r="T918" s="7"/>
      <c r="U918" s="7"/>
      <c r="V918" s="7"/>
      <c r="W918" s="7"/>
    </row>
    <row r="919" spans="1:23">
      <c r="A919" s="7"/>
      <c r="B919" s="8"/>
      <c r="C919" s="8"/>
      <c r="D919" s="7"/>
      <c r="E919" s="7"/>
      <c r="F919" s="7"/>
      <c r="G919" s="7"/>
      <c r="H919" s="143"/>
      <c r="I919" s="7"/>
      <c r="J919" s="7"/>
      <c r="K919" s="7"/>
      <c r="L919" s="7"/>
      <c r="M919" s="7"/>
      <c r="N919" s="7"/>
      <c r="O919" s="7"/>
      <c r="P919" s="7"/>
      <c r="Q919" s="7"/>
      <c r="R919" s="7"/>
      <c r="S919" s="7"/>
      <c r="T919" s="7"/>
      <c r="U919" s="7"/>
      <c r="V919" s="7"/>
      <c r="W919" s="7"/>
    </row>
    <row r="920" spans="1:23">
      <c r="A920" s="7"/>
      <c r="B920" s="8"/>
      <c r="C920" s="8"/>
      <c r="D920" s="7"/>
      <c r="E920" s="7"/>
      <c r="F920" s="7"/>
      <c r="G920" s="7"/>
      <c r="H920" s="143"/>
      <c r="I920" s="7"/>
      <c r="J920" s="7"/>
      <c r="K920" s="7"/>
      <c r="L920" s="7"/>
      <c r="M920" s="7"/>
      <c r="N920" s="7"/>
      <c r="O920" s="7"/>
      <c r="P920" s="7"/>
      <c r="Q920" s="7"/>
      <c r="R920" s="7"/>
      <c r="S920" s="7"/>
      <c r="T920" s="7"/>
      <c r="U920" s="7"/>
      <c r="V920" s="7"/>
      <c r="W920" s="7"/>
    </row>
    <row r="921" spans="1:23">
      <c r="A921" s="7"/>
      <c r="B921" s="8"/>
      <c r="C921" s="8"/>
      <c r="D921" s="7"/>
      <c r="E921" s="7"/>
      <c r="F921" s="7"/>
      <c r="G921" s="7"/>
      <c r="H921" s="143"/>
      <c r="I921" s="7"/>
      <c r="J921" s="7"/>
      <c r="K921" s="7"/>
      <c r="L921" s="7"/>
      <c r="M921" s="7"/>
      <c r="N921" s="7"/>
      <c r="O921" s="7"/>
      <c r="P921" s="7"/>
      <c r="Q921" s="7"/>
      <c r="R921" s="7"/>
      <c r="S921" s="7"/>
      <c r="T921" s="7"/>
      <c r="U921" s="7"/>
      <c r="V921" s="7"/>
      <c r="W921" s="7"/>
    </row>
    <row r="922" spans="1:23">
      <c r="A922" s="7"/>
      <c r="B922" s="8"/>
      <c r="C922" s="8"/>
      <c r="D922" s="7"/>
      <c r="E922" s="7"/>
      <c r="F922" s="7"/>
      <c r="G922" s="7"/>
      <c r="H922" s="143"/>
      <c r="I922" s="7"/>
      <c r="J922" s="7"/>
      <c r="K922" s="7"/>
      <c r="L922" s="7"/>
      <c r="M922" s="7"/>
      <c r="N922" s="7"/>
      <c r="O922" s="7"/>
      <c r="P922" s="7"/>
      <c r="Q922" s="7"/>
      <c r="R922" s="7"/>
      <c r="S922" s="7"/>
      <c r="T922" s="7"/>
      <c r="U922" s="7"/>
      <c r="V922" s="7"/>
      <c r="W922" s="7"/>
    </row>
    <row r="923" spans="1:23">
      <c r="A923" s="7"/>
      <c r="B923" s="8"/>
      <c r="C923" s="8"/>
      <c r="D923" s="7"/>
      <c r="E923" s="7"/>
      <c r="F923" s="7"/>
      <c r="G923" s="7"/>
      <c r="H923" s="143"/>
      <c r="I923" s="7"/>
      <c r="J923" s="7"/>
      <c r="K923" s="7"/>
      <c r="L923" s="7"/>
      <c r="M923" s="7"/>
      <c r="N923" s="7"/>
      <c r="O923" s="7"/>
      <c r="P923" s="7"/>
      <c r="Q923" s="7"/>
      <c r="R923" s="7"/>
      <c r="S923" s="7"/>
      <c r="T923" s="7"/>
      <c r="U923" s="7"/>
      <c r="V923" s="7"/>
      <c r="W923" s="7"/>
    </row>
    <row r="924" spans="1:23">
      <c r="A924" s="7"/>
      <c r="B924" s="8"/>
      <c r="C924" s="8"/>
      <c r="D924" s="7"/>
      <c r="E924" s="7"/>
      <c r="F924" s="7"/>
      <c r="G924" s="7"/>
      <c r="H924" s="143"/>
      <c r="I924" s="7"/>
      <c r="J924" s="7"/>
      <c r="K924" s="7"/>
      <c r="L924" s="7"/>
      <c r="M924" s="7"/>
      <c r="N924" s="7"/>
      <c r="O924" s="7"/>
      <c r="P924" s="7"/>
      <c r="Q924" s="7"/>
      <c r="R924" s="7"/>
      <c r="S924" s="7"/>
      <c r="T924" s="7"/>
      <c r="U924" s="7"/>
      <c r="V924" s="7"/>
      <c r="W924" s="7"/>
    </row>
    <row r="925" spans="1:23">
      <c r="A925" s="7"/>
      <c r="B925" s="8"/>
      <c r="C925" s="8"/>
      <c r="D925" s="7"/>
      <c r="E925" s="7"/>
      <c r="F925" s="7"/>
      <c r="G925" s="7"/>
      <c r="H925" s="143"/>
      <c r="I925" s="7"/>
      <c r="J925" s="7"/>
      <c r="K925" s="7"/>
      <c r="L925" s="7"/>
      <c r="M925" s="7"/>
      <c r="N925" s="7"/>
      <c r="O925" s="7"/>
      <c r="P925" s="7"/>
      <c r="Q925" s="7"/>
      <c r="R925" s="7"/>
      <c r="S925" s="7"/>
      <c r="T925" s="7"/>
      <c r="U925" s="7"/>
      <c r="V925" s="7"/>
      <c r="W925" s="7"/>
    </row>
    <row r="926" spans="1:23">
      <c r="A926" s="7"/>
      <c r="B926" s="8"/>
      <c r="C926" s="8"/>
      <c r="D926" s="7"/>
      <c r="E926" s="7"/>
      <c r="F926" s="7"/>
      <c r="G926" s="7"/>
      <c r="H926" s="143"/>
      <c r="I926" s="7"/>
      <c r="J926" s="7"/>
      <c r="K926" s="7"/>
      <c r="L926" s="7"/>
      <c r="M926" s="7"/>
      <c r="N926" s="7"/>
      <c r="O926" s="7"/>
      <c r="P926" s="7"/>
      <c r="Q926" s="7"/>
      <c r="R926" s="7"/>
      <c r="S926" s="7"/>
      <c r="T926" s="7"/>
      <c r="U926" s="7"/>
      <c r="V926" s="7"/>
      <c r="W926" s="7"/>
    </row>
    <row r="927" spans="1:23">
      <c r="A927" s="7"/>
      <c r="B927" s="8"/>
      <c r="C927" s="8"/>
      <c r="D927" s="7"/>
      <c r="E927" s="7"/>
      <c r="F927" s="7"/>
      <c r="G927" s="7"/>
      <c r="H927" s="143"/>
      <c r="I927" s="7"/>
      <c r="J927" s="7"/>
      <c r="K927" s="7"/>
      <c r="L927" s="7"/>
      <c r="M927" s="7"/>
      <c r="N927" s="7"/>
      <c r="O927" s="7"/>
      <c r="P927" s="7"/>
      <c r="Q927" s="7"/>
      <c r="R927" s="7"/>
      <c r="S927" s="7"/>
      <c r="T927" s="7"/>
      <c r="U927" s="7"/>
      <c r="V927" s="7"/>
      <c r="W927" s="7"/>
    </row>
    <row r="928" spans="1:23">
      <c r="A928" s="7"/>
      <c r="B928" s="8"/>
      <c r="C928" s="8"/>
      <c r="D928" s="7"/>
      <c r="E928" s="7"/>
      <c r="F928" s="7"/>
      <c r="G928" s="7"/>
      <c r="H928" s="143"/>
      <c r="I928" s="7"/>
      <c r="J928" s="7"/>
      <c r="K928" s="7"/>
      <c r="L928" s="7"/>
      <c r="M928" s="7"/>
      <c r="N928" s="7"/>
      <c r="O928" s="7"/>
      <c r="P928" s="7"/>
      <c r="Q928" s="7"/>
      <c r="R928" s="7"/>
      <c r="S928" s="7"/>
      <c r="T928" s="7"/>
      <c r="U928" s="7"/>
      <c r="V928" s="7"/>
      <c r="W928" s="7"/>
    </row>
    <row r="929" spans="1:23">
      <c r="A929" s="7"/>
      <c r="B929" s="8"/>
      <c r="C929" s="8"/>
      <c r="D929" s="7"/>
      <c r="E929" s="7"/>
      <c r="F929" s="7"/>
      <c r="G929" s="7"/>
      <c r="H929" s="143"/>
      <c r="I929" s="7"/>
      <c r="J929" s="7"/>
      <c r="K929" s="7"/>
      <c r="L929" s="7"/>
      <c r="M929" s="7"/>
      <c r="N929" s="7"/>
      <c r="O929" s="7"/>
      <c r="P929" s="7"/>
      <c r="Q929" s="7"/>
      <c r="R929" s="7"/>
      <c r="S929" s="7"/>
      <c r="T929" s="7"/>
      <c r="U929" s="7"/>
      <c r="V929" s="7"/>
      <c r="W929" s="7"/>
    </row>
    <row r="930" spans="1:23">
      <c r="A930" s="7"/>
      <c r="B930" s="8"/>
      <c r="C930" s="8"/>
      <c r="D930" s="7"/>
      <c r="E930" s="7"/>
      <c r="F930" s="7"/>
      <c r="G930" s="7"/>
      <c r="H930" s="143"/>
      <c r="I930" s="7"/>
      <c r="J930" s="7"/>
      <c r="K930" s="7"/>
      <c r="L930" s="7"/>
      <c r="M930" s="7"/>
      <c r="N930" s="7"/>
      <c r="O930" s="7"/>
      <c r="P930" s="7"/>
      <c r="Q930" s="7"/>
      <c r="R930" s="7"/>
      <c r="S930" s="7"/>
      <c r="T930" s="7"/>
      <c r="U930" s="7"/>
      <c r="V930" s="7"/>
      <c r="W930" s="7"/>
    </row>
    <row r="931" spans="1:23">
      <c r="A931" s="7"/>
      <c r="B931" s="8"/>
      <c r="C931" s="8"/>
      <c r="D931" s="7"/>
      <c r="E931" s="7"/>
      <c r="F931" s="7"/>
      <c r="G931" s="7"/>
      <c r="H931" s="143"/>
      <c r="I931" s="7"/>
      <c r="J931" s="7"/>
      <c r="K931" s="7"/>
      <c r="L931" s="7"/>
      <c r="M931" s="7"/>
      <c r="N931" s="7"/>
      <c r="O931" s="7"/>
      <c r="P931" s="7"/>
      <c r="Q931" s="7"/>
      <c r="R931" s="7"/>
      <c r="S931" s="7"/>
      <c r="T931" s="7"/>
      <c r="U931" s="7"/>
      <c r="V931" s="7"/>
      <c r="W931" s="7"/>
    </row>
    <row r="932" spans="1:23">
      <c r="A932" s="7"/>
      <c r="B932" s="8"/>
      <c r="C932" s="8"/>
      <c r="D932" s="7"/>
      <c r="E932" s="7"/>
      <c r="F932" s="7"/>
      <c r="G932" s="7"/>
      <c r="H932" s="143"/>
      <c r="I932" s="7"/>
      <c r="J932" s="7"/>
      <c r="K932" s="7"/>
      <c r="L932" s="7"/>
      <c r="M932" s="7"/>
      <c r="N932" s="7"/>
      <c r="O932" s="7"/>
      <c r="P932" s="7"/>
      <c r="Q932" s="7"/>
      <c r="R932" s="7"/>
      <c r="S932" s="7"/>
      <c r="T932" s="7"/>
      <c r="U932" s="7"/>
      <c r="V932" s="7"/>
      <c r="W932" s="7"/>
    </row>
    <row r="933" spans="1:23">
      <c r="A933" s="7"/>
      <c r="B933" s="8"/>
      <c r="C933" s="8"/>
      <c r="D933" s="7"/>
      <c r="E933" s="7"/>
      <c r="F933" s="7"/>
      <c r="G933" s="7"/>
      <c r="H933" s="143"/>
      <c r="I933" s="7"/>
      <c r="J933" s="7"/>
      <c r="K933" s="7"/>
      <c r="L933" s="7"/>
      <c r="M933" s="7"/>
      <c r="N933" s="7"/>
      <c r="O933" s="7"/>
      <c r="P933" s="7"/>
      <c r="Q933" s="7"/>
      <c r="R933" s="7"/>
      <c r="S933" s="7"/>
      <c r="T933" s="7"/>
      <c r="U933" s="7"/>
      <c r="V933" s="7"/>
      <c r="W933" s="7"/>
    </row>
    <row r="934" spans="1:23">
      <c r="A934" s="7"/>
      <c r="B934" s="8"/>
      <c r="C934" s="8"/>
      <c r="D934" s="7"/>
      <c r="E934" s="7"/>
      <c r="F934" s="7"/>
      <c r="G934" s="7"/>
      <c r="H934" s="143"/>
      <c r="I934" s="7"/>
      <c r="J934" s="7"/>
      <c r="K934" s="7"/>
      <c r="L934" s="7"/>
      <c r="M934" s="7"/>
      <c r="N934" s="7"/>
      <c r="O934" s="7"/>
      <c r="P934" s="7"/>
      <c r="Q934" s="7"/>
      <c r="R934" s="7"/>
      <c r="S934" s="7"/>
      <c r="T934" s="7"/>
      <c r="U934" s="7"/>
      <c r="V934" s="7"/>
      <c r="W934" s="7"/>
    </row>
    <row r="935" spans="1:23">
      <c r="A935" s="7"/>
      <c r="B935" s="8"/>
      <c r="C935" s="8"/>
      <c r="D935" s="7"/>
      <c r="E935" s="7"/>
      <c r="F935" s="7"/>
      <c r="G935" s="7"/>
      <c r="H935" s="143"/>
      <c r="I935" s="7"/>
      <c r="J935" s="7"/>
      <c r="K935" s="7"/>
      <c r="L935" s="7"/>
      <c r="M935" s="7"/>
      <c r="N935" s="7"/>
      <c r="O935" s="7"/>
      <c r="P935" s="7"/>
      <c r="Q935" s="7"/>
      <c r="R935" s="7"/>
      <c r="S935" s="7"/>
      <c r="T935" s="7"/>
      <c r="U935" s="7"/>
      <c r="V935" s="7"/>
      <c r="W935" s="7"/>
    </row>
    <row r="936" spans="1:23">
      <c r="A936" s="7"/>
      <c r="B936" s="8"/>
      <c r="C936" s="8"/>
      <c r="D936" s="7"/>
      <c r="E936" s="7"/>
      <c r="F936" s="7"/>
      <c r="G936" s="7"/>
      <c r="H936" s="143"/>
      <c r="I936" s="7"/>
      <c r="J936" s="7"/>
      <c r="K936" s="7"/>
      <c r="L936" s="7"/>
      <c r="M936" s="7"/>
      <c r="N936" s="7"/>
      <c r="O936" s="7"/>
      <c r="P936" s="7"/>
      <c r="Q936" s="7"/>
      <c r="R936" s="7"/>
      <c r="S936" s="7"/>
      <c r="T936" s="7"/>
      <c r="U936" s="7"/>
      <c r="V936" s="7"/>
      <c r="W936" s="7"/>
    </row>
    <row r="937" spans="1:23">
      <c r="A937" s="7"/>
      <c r="B937" s="8"/>
      <c r="C937" s="8"/>
      <c r="D937" s="7"/>
      <c r="E937" s="7"/>
      <c r="F937" s="7"/>
      <c r="G937" s="7"/>
      <c r="H937" s="143"/>
      <c r="I937" s="7"/>
      <c r="J937" s="7"/>
      <c r="K937" s="7"/>
      <c r="L937" s="7"/>
      <c r="M937" s="7"/>
      <c r="N937" s="7"/>
      <c r="O937" s="7"/>
      <c r="P937" s="7"/>
      <c r="Q937" s="7"/>
      <c r="R937" s="7"/>
      <c r="S937" s="7"/>
      <c r="T937" s="7"/>
      <c r="U937" s="7"/>
      <c r="V937" s="7"/>
      <c r="W937" s="7"/>
    </row>
    <row r="938" spans="1:23">
      <c r="A938" s="7"/>
      <c r="B938" s="8"/>
      <c r="C938" s="8"/>
      <c r="D938" s="7"/>
      <c r="E938" s="7"/>
      <c r="F938" s="7"/>
      <c r="G938" s="7"/>
      <c r="H938" s="143"/>
      <c r="I938" s="7"/>
      <c r="J938" s="7"/>
      <c r="K938" s="7"/>
      <c r="L938" s="7"/>
      <c r="M938" s="7"/>
      <c r="N938" s="7"/>
      <c r="O938" s="7"/>
      <c r="P938" s="7"/>
      <c r="Q938" s="7"/>
      <c r="R938" s="7"/>
      <c r="S938" s="7"/>
      <c r="T938" s="7"/>
      <c r="U938" s="7"/>
      <c r="V938" s="7"/>
      <c r="W938" s="7"/>
    </row>
    <row r="939" spans="1:23">
      <c r="A939" s="7"/>
      <c r="B939" s="8"/>
      <c r="C939" s="8"/>
      <c r="D939" s="7"/>
      <c r="E939" s="7"/>
      <c r="F939" s="7"/>
      <c r="G939" s="7"/>
      <c r="H939" s="143"/>
      <c r="I939" s="7"/>
      <c r="J939" s="7"/>
      <c r="K939" s="7"/>
      <c r="L939" s="7"/>
      <c r="M939" s="7"/>
      <c r="N939" s="7"/>
      <c r="O939" s="7"/>
      <c r="P939" s="7"/>
      <c r="Q939" s="7"/>
      <c r="R939" s="7"/>
      <c r="S939" s="7"/>
      <c r="T939" s="7"/>
      <c r="U939" s="7"/>
      <c r="V939" s="7"/>
      <c r="W939" s="7"/>
    </row>
    <row r="940" spans="1:23">
      <c r="A940" s="7"/>
      <c r="B940" s="8"/>
      <c r="C940" s="8"/>
      <c r="D940" s="7"/>
      <c r="E940" s="7"/>
      <c r="F940" s="7"/>
      <c r="G940" s="7"/>
      <c r="H940" s="143"/>
      <c r="I940" s="7"/>
      <c r="J940" s="7"/>
      <c r="K940" s="7"/>
      <c r="L940" s="7"/>
      <c r="M940" s="7"/>
      <c r="N940" s="7"/>
      <c r="O940" s="7"/>
      <c r="P940" s="7"/>
      <c r="Q940" s="7"/>
      <c r="R940" s="7"/>
      <c r="S940" s="7"/>
      <c r="T940" s="7"/>
      <c r="U940" s="7"/>
      <c r="V940" s="7"/>
      <c r="W940" s="7"/>
    </row>
    <row r="941" spans="1:23">
      <c r="A941" s="7"/>
      <c r="B941" s="8"/>
      <c r="C941" s="8"/>
      <c r="D941" s="7"/>
      <c r="E941" s="7"/>
      <c r="F941" s="7"/>
      <c r="G941" s="7"/>
      <c r="H941" s="143"/>
      <c r="I941" s="7"/>
      <c r="J941" s="7"/>
      <c r="K941" s="7"/>
      <c r="L941" s="7"/>
      <c r="M941" s="7"/>
      <c r="N941" s="7"/>
      <c r="O941" s="7"/>
      <c r="P941" s="7"/>
      <c r="Q941" s="7"/>
      <c r="R941" s="7"/>
      <c r="S941" s="7"/>
      <c r="T941" s="7"/>
      <c r="U941" s="7"/>
      <c r="V941" s="7"/>
      <c r="W941" s="7"/>
    </row>
    <row r="942" spans="1:23">
      <c r="A942" s="7"/>
      <c r="B942" s="8"/>
      <c r="C942" s="8"/>
      <c r="D942" s="7"/>
      <c r="E942" s="7"/>
      <c r="F942" s="7"/>
      <c r="G942" s="7"/>
      <c r="H942" s="143"/>
      <c r="I942" s="7"/>
      <c r="J942" s="7"/>
      <c r="K942" s="7"/>
      <c r="L942" s="7"/>
      <c r="M942" s="7"/>
      <c r="N942" s="7"/>
      <c r="O942" s="7"/>
      <c r="P942" s="7"/>
      <c r="Q942" s="7"/>
      <c r="R942" s="7"/>
      <c r="S942" s="7"/>
      <c r="T942" s="7"/>
      <c r="U942" s="7"/>
      <c r="V942" s="7"/>
      <c r="W942" s="7"/>
    </row>
    <row r="943" spans="1:23">
      <c r="A943" s="7"/>
      <c r="B943" s="8"/>
      <c r="C943" s="8"/>
      <c r="D943" s="7"/>
      <c r="E943" s="7"/>
      <c r="F943" s="7"/>
      <c r="G943" s="7"/>
      <c r="H943" s="143"/>
      <c r="I943" s="7"/>
      <c r="J943" s="7"/>
      <c r="K943" s="7"/>
      <c r="L943" s="7"/>
      <c r="M943" s="7"/>
      <c r="N943" s="7"/>
      <c r="O943" s="7"/>
      <c r="P943" s="7"/>
      <c r="Q943" s="7"/>
      <c r="R943" s="7"/>
      <c r="S943" s="7"/>
      <c r="T943" s="7"/>
      <c r="U943" s="7"/>
      <c r="V943" s="7"/>
      <c r="W943" s="7"/>
    </row>
    <row r="944" spans="1:23">
      <c r="A944" s="7"/>
      <c r="B944" s="8"/>
      <c r="C944" s="8"/>
      <c r="D944" s="7"/>
      <c r="E944" s="7"/>
      <c r="F944" s="7"/>
      <c r="G944" s="7"/>
      <c r="H944" s="143"/>
      <c r="I944" s="7"/>
      <c r="J944" s="7"/>
      <c r="K944" s="7"/>
      <c r="L944" s="7"/>
      <c r="M944" s="7"/>
      <c r="N944" s="7"/>
      <c r="O944" s="7"/>
      <c r="P944" s="7"/>
      <c r="Q944" s="7"/>
      <c r="R944" s="7"/>
      <c r="S944" s="7"/>
      <c r="T944" s="7"/>
      <c r="U944" s="7"/>
      <c r="V944" s="7"/>
      <c r="W944" s="7"/>
    </row>
    <row r="945" spans="1:23">
      <c r="A945" s="7"/>
      <c r="B945" s="8"/>
      <c r="C945" s="8"/>
      <c r="D945" s="7"/>
      <c r="E945" s="7"/>
      <c r="F945" s="7"/>
      <c r="G945" s="7"/>
      <c r="H945" s="143"/>
      <c r="I945" s="7"/>
      <c r="J945" s="7"/>
      <c r="K945" s="7"/>
      <c r="L945" s="7"/>
      <c r="M945" s="7"/>
      <c r="N945" s="7"/>
      <c r="O945" s="7"/>
      <c r="P945" s="7"/>
      <c r="Q945" s="7"/>
      <c r="R945" s="7"/>
      <c r="S945" s="7"/>
      <c r="T945" s="7"/>
      <c r="U945" s="7"/>
      <c r="V945" s="7"/>
      <c r="W945" s="7"/>
    </row>
    <row r="946" spans="1:23">
      <c r="A946" s="7"/>
      <c r="B946" s="8"/>
      <c r="C946" s="8"/>
      <c r="D946" s="7"/>
      <c r="E946" s="7"/>
      <c r="F946" s="7"/>
      <c r="G946" s="7"/>
      <c r="H946" s="143"/>
      <c r="I946" s="7"/>
      <c r="J946" s="7"/>
      <c r="K946" s="7"/>
      <c r="L946" s="7"/>
      <c r="M946" s="7"/>
      <c r="N946" s="7"/>
      <c r="O946" s="7"/>
      <c r="P946" s="7"/>
      <c r="Q946" s="7"/>
      <c r="R946" s="7"/>
      <c r="S946" s="7"/>
      <c r="T946" s="7"/>
      <c r="U946" s="7"/>
      <c r="V946" s="7"/>
      <c r="W946" s="7"/>
    </row>
    <row r="947" spans="1:23">
      <c r="A947" s="7"/>
      <c r="B947" s="8"/>
      <c r="C947" s="8"/>
      <c r="D947" s="7"/>
      <c r="E947" s="7"/>
      <c r="F947" s="7"/>
      <c r="G947" s="7"/>
      <c r="H947" s="143"/>
      <c r="I947" s="7"/>
      <c r="J947" s="7"/>
      <c r="K947" s="7"/>
      <c r="L947" s="7"/>
      <c r="M947" s="7"/>
      <c r="N947" s="7"/>
      <c r="O947" s="7"/>
      <c r="P947" s="7"/>
      <c r="Q947" s="7"/>
      <c r="R947" s="7"/>
      <c r="S947" s="7"/>
      <c r="T947" s="7"/>
      <c r="U947" s="7"/>
      <c r="V947" s="7"/>
      <c r="W947" s="7"/>
    </row>
    <row r="948" spans="1:23">
      <c r="A948" s="7"/>
      <c r="B948" s="8"/>
      <c r="C948" s="8"/>
      <c r="D948" s="7"/>
      <c r="E948" s="7"/>
      <c r="F948" s="7"/>
      <c r="G948" s="7"/>
      <c r="H948" s="143"/>
      <c r="I948" s="7"/>
      <c r="J948" s="7"/>
      <c r="K948" s="7"/>
      <c r="L948" s="7"/>
      <c r="M948" s="7"/>
      <c r="N948" s="7"/>
      <c r="O948" s="7"/>
      <c r="P948" s="7"/>
      <c r="Q948" s="7"/>
      <c r="R948" s="7"/>
      <c r="S948" s="7"/>
      <c r="T948" s="7"/>
      <c r="U948" s="7"/>
      <c r="V948" s="7"/>
      <c r="W948" s="7"/>
    </row>
    <row r="949" spans="1:23">
      <c r="A949" s="7"/>
      <c r="B949" s="8"/>
      <c r="C949" s="8"/>
      <c r="D949" s="7"/>
      <c r="E949" s="7"/>
      <c r="F949" s="7"/>
      <c r="G949" s="7"/>
      <c r="H949" s="143"/>
      <c r="I949" s="7"/>
      <c r="J949" s="7"/>
      <c r="K949" s="7"/>
      <c r="L949" s="7"/>
      <c r="M949" s="7"/>
      <c r="N949" s="7"/>
      <c r="O949" s="7"/>
      <c r="P949" s="7"/>
      <c r="Q949" s="7"/>
      <c r="R949" s="7"/>
      <c r="S949" s="7"/>
      <c r="T949" s="7"/>
      <c r="U949" s="7"/>
      <c r="V949" s="7"/>
      <c r="W949" s="7"/>
    </row>
    <row r="950" spans="1:23">
      <c r="A950" s="7"/>
      <c r="B950" s="8"/>
      <c r="C950" s="8"/>
      <c r="D950" s="7"/>
      <c r="E950" s="7"/>
      <c r="F950" s="7"/>
      <c r="G950" s="7"/>
      <c r="H950" s="143"/>
      <c r="I950" s="7"/>
      <c r="J950" s="7"/>
      <c r="K950" s="7"/>
      <c r="L950" s="7"/>
      <c r="M950" s="7"/>
      <c r="N950" s="7"/>
      <c r="O950" s="7"/>
      <c r="P950" s="7"/>
      <c r="Q950" s="7"/>
      <c r="R950" s="7"/>
      <c r="S950" s="7"/>
      <c r="T950" s="7"/>
      <c r="U950" s="7"/>
      <c r="V950" s="7"/>
      <c r="W950" s="7"/>
    </row>
    <row r="951" spans="1:23">
      <c r="A951" s="7"/>
      <c r="B951" s="8"/>
      <c r="C951" s="8"/>
      <c r="D951" s="7"/>
      <c r="E951" s="7"/>
      <c r="F951" s="7"/>
      <c r="G951" s="7"/>
      <c r="H951" s="143"/>
      <c r="I951" s="7"/>
      <c r="J951" s="7"/>
      <c r="K951" s="7"/>
      <c r="L951" s="7"/>
      <c r="M951" s="7"/>
      <c r="N951" s="7"/>
      <c r="O951" s="7"/>
      <c r="P951" s="7"/>
      <c r="Q951" s="7"/>
      <c r="R951" s="7"/>
      <c r="S951" s="7"/>
      <c r="T951" s="7"/>
      <c r="U951" s="7"/>
      <c r="V951" s="7"/>
      <c r="W951" s="7"/>
    </row>
    <row r="952" spans="1:23">
      <c r="A952" s="7"/>
      <c r="B952" s="8"/>
      <c r="C952" s="8"/>
      <c r="D952" s="7"/>
      <c r="E952" s="7"/>
      <c r="F952" s="7"/>
      <c r="G952" s="7"/>
      <c r="H952" s="143"/>
      <c r="I952" s="7"/>
      <c r="J952" s="7"/>
      <c r="K952" s="7"/>
      <c r="L952" s="7"/>
      <c r="M952" s="7"/>
      <c r="N952" s="7"/>
      <c r="O952" s="7"/>
      <c r="P952" s="7"/>
      <c r="Q952" s="7"/>
      <c r="R952" s="7"/>
      <c r="S952" s="7"/>
      <c r="T952" s="7"/>
      <c r="U952" s="7"/>
      <c r="V952" s="7"/>
      <c r="W952" s="7"/>
    </row>
    <row r="953" spans="1:23">
      <c r="A953" s="7"/>
      <c r="B953" s="8"/>
      <c r="C953" s="8"/>
      <c r="D953" s="7"/>
      <c r="E953" s="7"/>
      <c r="F953" s="7"/>
      <c r="G953" s="7"/>
      <c r="H953" s="143"/>
      <c r="I953" s="7"/>
      <c r="J953" s="7"/>
      <c r="K953" s="7"/>
      <c r="L953" s="7"/>
      <c r="M953" s="7"/>
      <c r="N953" s="7"/>
      <c r="O953" s="7"/>
      <c r="P953" s="7"/>
      <c r="Q953" s="7"/>
      <c r="R953" s="7"/>
      <c r="S953" s="7"/>
      <c r="T953" s="7"/>
      <c r="U953" s="7"/>
      <c r="V953" s="7"/>
      <c r="W953" s="7"/>
    </row>
    <row r="954" spans="1:23">
      <c r="A954" s="7"/>
      <c r="B954" s="8"/>
      <c r="C954" s="8"/>
      <c r="D954" s="7"/>
      <c r="E954" s="7"/>
      <c r="F954" s="7"/>
      <c r="G954" s="7"/>
      <c r="H954" s="143"/>
      <c r="I954" s="7"/>
      <c r="J954" s="7"/>
      <c r="K954" s="7"/>
      <c r="L954" s="7"/>
      <c r="M954" s="7"/>
      <c r="N954" s="7"/>
      <c r="O954" s="7"/>
      <c r="P954" s="7"/>
      <c r="Q954" s="7"/>
      <c r="R954" s="7"/>
      <c r="S954" s="7"/>
      <c r="T954" s="7"/>
      <c r="U954" s="7"/>
      <c r="V954" s="7"/>
      <c r="W954" s="7"/>
    </row>
    <row r="955" spans="1:23">
      <c r="A955" s="7"/>
      <c r="B955" s="8"/>
      <c r="C955" s="8"/>
      <c r="D955" s="7"/>
      <c r="E955" s="7"/>
      <c r="F955" s="7"/>
      <c r="G955" s="7"/>
      <c r="H955" s="143"/>
      <c r="I955" s="7"/>
      <c r="J955" s="7"/>
      <c r="K955" s="7"/>
      <c r="L955" s="7"/>
      <c r="M955" s="7"/>
      <c r="N955" s="7"/>
      <c r="O955" s="7"/>
      <c r="P955" s="7"/>
      <c r="Q955" s="7"/>
      <c r="R955" s="7"/>
      <c r="S955" s="7"/>
      <c r="T955" s="7"/>
      <c r="U955" s="7"/>
      <c r="V955" s="7"/>
      <c r="W955" s="7"/>
    </row>
    <row r="956" spans="1:23">
      <c r="A956" s="7"/>
      <c r="B956" s="8"/>
      <c r="C956" s="8"/>
      <c r="D956" s="7"/>
      <c r="E956" s="7"/>
      <c r="F956" s="7"/>
      <c r="G956" s="7"/>
      <c r="H956" s="143"/>
      <c r="I956" s="7"/>
      <c r="J956" s="7"/>
      <c r="K956" s="7"/>
      <c r="L956" s="7"/>
      <c r="M956" s="7"/>
      <c r="N956" s="7"/>
      <c r="O956" s="7"/>
      <c r="P956" s="7"/>
      <c r="Q956" s="7"/>
      <c r="R956" s="7"/>
      <c r="S956" s="7"/>
      <c r="T956" s="7"/>
      <c r="U956" s="7"/>
      <c r="V956" s="7"/>
      <c r="W956" s="7"/>
    </row>
    <row r="957" spans="1:23">
      <c r="A957" s="7"/>
      <c r="B957" s="8"/>
      <c r="C957" s="8"/>
      <c r="D957" s="7"/>
      <c r="E957" s="7"/>
      <c r="F957" s="7"/>
      <c r="G957" s="7"/>
      <c r="H957" s="143"/>
      <c r="I957" s="7"/>
      <c r="J957" s="7"/>
      <c r="K957" s="7"/>
      <c r="L957" s="7"/>
      <c r="M957" s="7"/>
      <c r="N957" s="7"/>
      <c r="O957" s="7"/>
      <c r="P957" s="7"/>
      <c r="Q957" s="7"/>
      <c r="R957" s="7"/>
      <c r="S957" s="7"/>
      <c r="T957" s="7"/>
      <c r="U957" s="7"/>
      <c r="V957" s="7"/>
      <c r="W957" s="7"/>
    </row>
    <row r="958" spans="1:23">
      <c r="A958" s="7"/>
      <c r="B958" s="8"/>
      <c r="C958" s="8"/>
      <c r="D958" s="7"/>
      <c r="E958" s="7"/>
      <c r="F958" s="7"/>
      <c r="G958" s="7"/>
      <c r="H958" s="143"/>
      <c r="I958" s="7"/>
      <c r="J958" s="7"/>
      <c r="K958" s="7"/>
      <c r="L958" s="7"/>
      <c r="M958" s="7"/>
      <c r="N958" s="7"/>
      <c r="O958" s="7"/>
      <c r="P958" s="7"/>
      <c r="Q958" s="7"/>
      <c r="R958" s="7"/>
      <c r="S958" s="7"/>
      <c r="T958" s="7"/>
      <c r="U958" s="7"/>
      <c r="V958" s="7"/>
      <c r="W958" s="7"/>
    </row>
    <row r="959" spans="1:23">
      <c r="A959" s="7"/>
      <c r="B959" s="8"/>
      <c r="C959" s="8"/>
      <c r="D959" s="7"/>
      <c r="E959" s="7"/>
      <c r="F959" s="7"/>
      <c r="G959" s="7"/>
      <c r="H959" s="143"/>
      <c r="I959" s="7"/>
      <c r="J959" s="7"/>
      <c r="K959" s="7"/>
      <c r="L959" s="7"/>
      <c r="M959" s="7"/>
      <c r="N959" s="7"/>
      <c r="O959" s="7"/>
      <c r="P959" s="7"/>
      <c r="Q959" s="7"/>
      <c r="R959" s="7"/>
      <c r="S959" s="7"/>
      <c r="T959" s="7"/>
      <c r="U959" s="7"/>
      <c r="V959" s="7"/>
      <c r="W959" s="7"/>
    </row>
    <row r="960" spans="1:23">
      <c r="A960" s="7"/>
      <c r="B960" s="8"/>
      <c r="C960" s="8"/>
      <c r="D960" s="7"/>
      <c r="E960" s="7"/>
      <c r="F960" s="7"/>
      <c r="G960" s="7"/>
      <c r="H960" s="143"/>
      <c r="I960" s="7"/>
      <c r="J960" s="7"/>
      <c r="K960" s="7"/>
      <c r="L960" s="7"/>
      <c r="M960" s="7"/>
      <c r="N960" s="7"/>
      <c r="O960" s="7"/>
      <c r="P960" s="7"/>
      <c r="Q960" s="7"/>
      <c r="R960" s="7"/>
      <c r="S960" s="7"/>
      <c r="T960" s="7"/>
      <c r="U960" s="7"/>
      <c r="V960" s="7"/>
      <c r="W960" s="7"/>
    </row>
    <row r="961" spans="1:23">
      <c r="A961" s="7"/>
      <c r="B961" s="8"/>
      <c r="C961" s="8"/>
      <c r="D961" s="7"/>
      <c r="E961" s="7"/>
      <c r="F961" s="7"/>
      <c r="G961" s="7"/>
      <c r="H961" s="143"/>
      <c r="I961" s="7"/>
      <c r="J961" s="7"/>
      <c r="K961" s="7"/>
      <c r="L961" s="7"/>
      <c r="M961" s="7"/>
      <c r="N961" s="7"/>
      <c r="O961" s="7"/>
      <c r="P961" s="7"/>
      <c r="Q961" s="7"/>
      <c r="R961" s="7"/>
      <c r="S961" s="7"/>
      <c r="T961" s="7"/>
      <c r="U961" s="7"/>
      <c r="V961" s="7"/>
      <c r="W961" s="7"/>
    </row>
    <row r="962" spans="1:23">
      <c r="A962" s="7"/>
      <c r="B962" s="8"/>
      <c r="C962" s="8"/>
      <c r="D962" s="7"/>
      <c r="E962" s="7"/>
      <c r="F962" s="7"/>
      <c r="G962" s="7"/>
      <c r="H962" s="143"/>
      <c r="I962" s="7"/>
      <c r="J962" s="7"/>
      <c r="K962" s="7"/>
      <c r="L962" s="7"/>
      <c r="M962" s="7"/>
      <c r="N962" s="7"/>
      <c r="O962" s="7"/>
      <c r="P962" s="7"/>
      <c r="Q962" s="7"/>
      <c r="R962" s="7"/>
      <c r="S962" s="7"/>
      <c r="T962" s="7"/>
      <c r="U962" s="7"/>
      <c r="V962" s="7"/>
      <c r="W962" s="7"/>
    </row>
    <row r="963" spans="1:23">
      <c r="A963" s="7"/>
      <c r="B963" s="8"/>
      <c r="C963" s="8"/>
      <c r="D963" s="7"/>
      <c r="E963" s="7"/>
      <c r="F963" s="7"/>
      <c r="G963" s="7"/>
      <c r="H963" s="143"/>
      <c r="I963" s="7"/>
      <c r="J963" s="7"/>
      <c r="K963" s="7"/>
      <c r="L963" s="7"/>
      <c r="M963" s="7"/>
      <c r="N963" s="7"/>
      <c r="O963" s="7"/>
      <c r="P963" s="7"/>
      <c r="Q963" s="7"/>
      <c r="R963" s="7"/>
      <c r="S963" s="7"/>
      <c r="T963" s="7"/>
      <c r="U963" s="7"/>
      <c r="V963" s="7"/>
      <c r="W963" s="7"/>
    </row>
    <row r="964" spans="1:23">
      <c r="A964" s="7"/>
      <c r="B964" s="8"/>
      <c r="C964" s="8"/>
      <c r="D964" s="7"/>
      <c r="E964" s="7"/>
      <c r="F964" s="7"/>
      <c r="G964" s="7"/>
      <c r="H964" s="143"/>
      <c r="I964" s="7"/>
      <c r="J964" s="7"/>
      <c r="K964" s="7"/>
      <c r="L964" s="7"/>
      <c r="M964" s="7"/>
      <c r="N964" s="7"/>
      <c r="O964" s="7"/>
      <c r="P964" s="7"/>
      <c r="Q964" s="7"/>
      <c r="R964" s="7"/>
      <c r="S964" s="7"/>
      <c r="T964" s="7"/>
      <c r="U964" s="7"/>
      <c r="V964" s="7"/>
      <c r="W964" s="7"/>
    </row>
    <row r="965" spans="1:23">
      <c r="A965" s="7"/>
      <c r="B965" s="8"/>
      <c r="C965" s="8"/>
      <c r="D965" s="7"/>
      <c r="E965" s="7"/>
      <c r="F965" s="7"/>
      <c r="G965" s="7"/>
      <c r="H965" s="143"/>
      <c r="I965" s="7"/>
      <c r="J965" s="7"/>
      <c r="K965" s="7"/>
      <c r="L965" s="7"/>
      <c r="M965" s="7"/>
      <c r="N965" s="7"/>
      <c r="O965" s="7"/>
      <c r="P965" s="7"/>
      <c r="Q965" s="7"/>
      <c r="R965" s="7"/>
      <c r="S965" s="7"/>
      <c r="T965" s="7"/>
      <c r="U965" s="7"/>
      <c r="V965" s="7"/>
      <c r="W965" s="7"/>
    </row>
    <row r="966" spans="1:23">
      <c r="A966" s="7"/>
      <c r="B966" s="8"/>
      <c r="C966" s="8"/>
      <c r="D966" s="7"/>
      <c r="E966" s="7"/>
      <c r="F966" s="7"/>
      <c r="G966" s="7"/>
      <c r="H966" s="143"/>
      <c r="I966" s="7"/>
      <c r="J966" s="7"/>
      <c r="K966" s="7"/>
      <c r="L966" s="7"/>
      <c r="M966" s="7"/>
      <c r="N966" s="7"/>
      <c r="O966" s="7"/>
      <c r="P966" s="7"/>
      <c r="Q966" s="7"/>
      <c r="R966" s="7"/>
      <c r="S966" s="7"/>
      <c r="T966" s="7"/>
      <c r="U966" s="7"/>
      <c r="V966" s="7"/>
      <c r="W966" s="7"/>
    </row>
    <row r="967" spans="1:23">
      <c r="A967" s="7"/>
      <c r="B967" s="8"/>
      <c r="C967" s="8"/>
      <c r="D967" s="7"/>
      <c r="E967" s="7"/>
      <c r="F967" s="7"/>
      <c r="G967" s="7"/>
      <c r="H967" s="143"/>
      <c r="I967" s="7"/>
      <c r="J967" s="7"/>
      <c r="K967" s="7"/>
      <c r="L967" s="7"/>
      <c r="M967" s="7"/>
      <c r="N967" s="7"/>
      <c r="O967" s="7"/>
      <c r="P967" s="7"/>
      <c r="Q967" s="7"/>
      <c r="R967" s="7"/>
      <c r="S967" s="7"/>
      <c r="T967" s="7"/>
      <c r="U967" s="7"/>
      <c r="V967" s="7"/>
      <c r="W967" s="7"/>
    </row>
    <row r="968" spans="1:23">
      <c r="A968" s="7"/>
      <c r="B968" s="8"/>
      <c r="C968" s="8"/>
      <c r="D968" s="7"/>
      <c r="E968" s="7"/>
      <c r="F968" s="7"/>
      <c r="G968" s="7"/>
      <c r="H968" s="143"/>
      <c r="I968" s="7"/>
      <c r="J968" s="7"/>
      <c r="K968" s="7"/>
      <c r="L968" s="7"/>
      <c r="M968" s="7"/>
      <c r="N968" s="7"/>
      <c r="O968" s="7"/>
      <c r="P968" s="7"/>
      <c r="Q968" s="7"/>
      <c r="R968" s="7"/>
      <c r="S968" s="7"/>
      <c r="T968" s="7"/>
      <c r="U968" s="7"/>
      <c r="V968" s="7"/>
      <c r="W968" s="7"/>
    </row>
    <row r="969" spans="1:23">
      <c r="A969" s="7"/>
      <c r="B969" s="8"/>
      <c r="C969" s="8"/>
      <c r="D969" s="7"/>
      <c r="E969" s="7"/>
      <c r="F969" s="7"/>
      <c r="G969" s="7"/>
      <c r="H969" s="143"/>
      <c r="I969" s="7"/>
      <c r="J969" s="7"/>
      <c r="K969" s="7"/>
      <c r="L969" s="7"/>
      <c r="M969" s="7"/>
      <c r="N969" s="7"/>
      <c r="O969" s="7"/>
      <c r="P969" s="7"/>
      <c r="Q969" s="7"/>
      <c r="R969" s="7"/>
      <c r="S969" s="7"/>
      <c r="T969" s="7"/>
      <c r="U969" s="7"/>
      <c r="V969" s="7"/>
      <c r="W969" s="7"/>
    </row>
    <row r="970" spans="1:23">
      <c r="A970" s="7"/>
      <c r="B970" s="8"/>
      <c r="C970" s="8"/>
      <c r="D970" s="7"/>
      <c r="E970" s="7"/>
      <c r="F970" s="7"/>
      <c r="G970" s="7"/>
      <c r="H970" s="143"/>
      <c r="I970" s="7"/>
      <c r="J970" s="7"/>
      <c r="K970" s="7"/>
      <c r="L970" s="7"/>
      <c r="M970" s="7"/>
      <c r="N970" s="7"/>
      <c r="O970" s="7"/>
      <c r="P970" s="7"/>
      <c r="Q970" s="7"/>
      <c r="R970" s="7"/>
      <c r="S970" s="7"/>
      <c r="T970" s="7"/>
      <c r="U970" s="7"/>
      <c r="V970" s="7"/>
      <c r="W970" s="7"/>
    </row>
    <row r="971" spans="1:23">
      <c r="A971" s="7"/>
      <c r="B971" s="8"/>
      <c r="C971" s="8"/>
      <c r="D971" s="7"/>
      <c r="E971" s="7"/>
      <c r="F971" s="7"/>
      <c r="G971" s="7"/>
      <c r="H971" s="143"/>
      <c r="I971" s="7"/>
      <c r="J971" s="7"/>
      <c r="K971" s="7"/>
      <c r="L971" s="7"/>
      <c r="M971" s="7"/>
      <c r="N971" s="7"/>
      <c r="O971" s="7"/>
      <c r="P971" s="7"/>
      <c r="Q971" s="7"/>
      <c r="R971" s="7"/>
      <c r="S971" s="7"/>
      <c r="T971" s="7"/>
      <c r="U971" s="7"/>
      <c r="V971" s="7"/>
      <c r="W971" s="7"/>
    </row>
    <row r="972" spans="1:23">
      <c r="A972" s="7"/>
      <c r="B972" s="8"/>
      <c r="C972" s="8"/>
      <c r="D972" s="7"/>
      <c r="E972" s="7"/>
      <c r="F972" s="7"/>
      <c r="G972" s="7"/>
      <c r="H972" s="143"/>
      <c r="I972" s="7"/>
      <c r="J972" s="7"/>
      <c r="K972" s="7"/>
      <c r="L972" s="7"/>
      <c r="M972" s="7"/>
      <c r="N972" s="7"/>
      <c r="O972" s="7"/>
      <c r="P972" s="7"/>
      <c r="Q972" s="7"/>
      <c r="R972" s="7"/>
      <c r="S972" s="7"/>
      <c r="T972" s="7"/>
      <c r="U972" s="7"/>
      <c r="V972" s="7"/>
      <c r="W972" s="7"/>
    </row>
    <row r="973" spans="1:23">
      <c r="A973" s="7"/>
      <c r="B973" s="8"/>
      <c r="C973" s="8"/>
      <c r="D973" s="7"/>
      <c r="E973" s="7"/>
      <c r="F973" s="7"/>
      <c r="G973" s="7"/>
      <c r="H973" s="143"/>
      <c r="I973" s="7"/>
      <c r="J973" s="7"/>
      <c r="K973" s="7"/>
      <c r="L973" s="7"/>
      <c r="M973" s="7"/>
      <c r="N973" s="7"/>
      <c r="O973" s="7"/>
      <c r="P973" s="7"/>
      <c r="Q973" s="7"/>
      <c r="R973" s="7"/>
      <c r="S973" s="7"/>
      <c r="T973" s="7"/>
      <c r="U973" s="7"/>
      <c r="V973" s="7"/>
      <c r="W973" s="7"/>
    </row>
    <row r="974" spans="1:23">
      <c r="A974" s="7"/>
      <c r="B974" s="8"/>
      <c r="C974" s="8"/>
      <c r="D974" s="7"/>
      <c r="E974" s="7"/>
      <c r="F974" s="7"/>
      <c r="G974" s="7"/>
      <c r="H974" s="143"/>
      <c r="I974" s="7"/>
      <c r="J974" s="7"/>
      <c r="K974" s="7"/>
      <c r="L974" s="7"/>
      <c r="M974" s="7"/>
      <c r="N974" s="7"/>
      <c r="O974" s="7"/>
      <c r="P974" s="7"/>
      <c r="Q974" s="7"/>
      <c r="R974" s="7"/>
      <c r="S974" s="7"/>
      <c r="T974" s="7"/>
      <c r="U974" s="7"/>
      <c r="V974" s="7"/>
      <c r="W974" s="7"/>
    </row>
    <row r="975" spans="1:23">
      <c r="A975" s="7"/>
      <c r="B975" s="8"/>
      <c r="C975" s="8"/>
      <c r="D975" s="7"/>
      <c r="E975" s="7"/>
      <c r="F975" s="7"/>
      <c r="G975" s="7"/>
      <c r="H975" s="143"/>
      <c r="I975" s="7"/>
      <c r="J975" s="7"/>
      <c r="K975" s="7"/>
      <c r="L975" s="7"/>
      <c r="M975" s="7"/>
      <c r="N975" s="7"/>
      <c r="O975" s="7"/>
      <c r="P975" s="7"/>
      <c r="Q975" s="7"/>
      <c r="R975" s="7"/>
      <c r="S975" s="7"/>
      <c r="T975" s="7"/>
      <c r="U975" s="7"/>
      <c r="V975" s="7"/>
      <c r="W975" s="7"/>
    </row>
    <row r="976" spans="1:23">
      <c r="A976" s="7"/>
      <c r="B976" s="8"/>
      <c r="C976" s="8"/>
      <c r="D976" s="7"/>
      <c r="E976" s="7"/>
      <c r="F976" s="7"/>
      <c r="G976" s="7"/>
      <c r="H976" s="143"/>
      <c r="I976" s="7"/>
      <c r="J976" s="7"/>
      <c r="K976" s="7"/>
      <c r="L976" s="7"/>
      <c r="M976" s="7"/>
      <c r="N976" s="7"/>
      <c r="O976" s="7"/>
      <c r="P976" s="7"/>
      <c r="Q976" s="7"/>
      <c r="R976" s="7"/>
      <c r="S976" s="7"/>
      <c r="T976" s="7"/>
      <c r="U976" s="7"/>
      <c r="V976" s="7"/>
      <c r="W976" s="7"/>
    </row>
    <row r="977" spans="1:23">
      <c r="A977" s="7"/>
      <c r="B977" s="8"/>
      <c r="C977" s="8"/>
      <c r="D977" s="7"/>
      <c r="E977" s="7"/>
      <c r="F977" s="7"/>
      <c r="G977" s="7"/>
      <c r="H977" s="143"/>
      <c r="I977" s="7"/>
      <c r="J977" s="7"/>
      <c r="K977" s="7"/>
      <c r="L977" s="7"/>
      <c r="M977" s="7"/>
      <c r="N977" s="7"/>
      <c r="O977" s="7"/>
      <c r="P977" s="7"/>
      <c r="Q977" s="7"/>
      <c r="R977" s="7"/>
      <c r="S977" s="7"/>
      <c r="T977" s="7"/>
      <c r="U977" s="7"/>
      <c r="V977" s="7"/>
      <c r="W977" s="7"/>
    </row>
    <row r="978" spans="1:23">
      <c r="A978" s="7"/>
      <c r="B978" s="8"/>
      <c r="C978" s="8"/>
      <c r="D978" s="7"/>
      <c r="E978" s="7"/>
      <c r="F978" s="7"/>
      <c r="G978" s="7"/>
      <c r="H978" s="143"/>
      <c r="I978" s="7"/>
      <c r="J978" s="7"/>
      <c r="K978" s="7"/>
      <c r="L978" s="7"/>
      <c r="M978" s="7"/>
      <c r="N978" s="7"/>
      <c r="O978" s="7"/>
      <c r="P978" s="7"/>
      <c r="Q978" s="7"/>
      <c r="R978" s="7"/>
      <c r="S978" s="7"/>
      <c r="T978" s="7"/>
      <c r="U978" s="7"/>
      <c r="V978" s="7"/>
      <c r="W978" s="7"/>
    </row>
    <row r="979" spans="1:23">
      <c r="A979" s="7"/>
      <c r="B979" s="8"/>
      <c r="C979" s="8"/>
      <c r="D979" s="7"/>
      <c r="E979" s="7"/>
      <c r="F979" s="7"/>
      <c r="G979" s="7"/>
      <c r="H979" s="143"/>
      <c r="I979" s="7"/>
      <c r="J979" s="7"/>
      <c r="K979" s="7"/>
      <c r="L979" s="7"/>
      <c r="M979" s="7"/>
      <c r="N979" s="7"/>
      <c r="O979" s="7"/>
      <c r="P979" s="7"/>
      <c r="Q979" s="7"/>
      <c r="R979" s="7"/>
      <c r="S979" s="7"/>
      <c r="T979" s="7"/>
      <c r="U979" s="7"/>
      <c r="V979" s="7"/>
      <c r="W979" s="7"/>
    </row>
    <row r="980" spans="1:23">
      <c r="A980" s="7"/>
      <c r="B980" s="8"/>
      <c r="C980" s="8"/>
      <c r="D980" s="7"/>
      <c r="E980" s="7"/>
      <c r="F980" s="7"/>
      <c r="G980" s="7"/>
      <c r="H980" s="143"/>
      <c r="I980" s="7"/>
      <c r="J980" s="7"/>
      <c r="K980" s="7"/>
      <c r="L980" s="7"/>
      <c r="M980" s="7"/>
      <c r="N980" s="7"/>
      <c r="O980" s="7"/>
      <c r="P980" s="7"/>
      <c r="Q980" s="7"/>
      <c r="R980" s="7"/>
      <c r="S980" s="7"/>
      <c r="T980" s="7"/>
      <c r="U980" s="7"/>
      <c r="V980" s="7"/>
      <c r="W980" s="7"/>
    </row>
    <row r="981" spans="1:23">
      <c r="A981" s="7"/>
      <c r="B981" s="8"/>
      <c r="C981" s="8"/>
      <c r="D981" s="7"/>
      <c r="E981" s="7"/>
      <c r="F981" s="7"/>
      <c r="G981" s="7"/>
      <c r="H981" s="143"/>
      <c r="I981" s="7"/>
      <c r="J981" s="7"/>
      <c r="K981" s="7"/>
      <c r="L981" s="7"/>
      <c r="M981" s="7"/>
      <c r="N981" s="7"/>
      <c r="O981" s="7"/>
      <c r="P981" s="7"/>
      <c r="Q981" s="7"/>
      <c r="R981" s="7"/>
      <c r="S981" s="7"/>
      <c r="T981" s="7"/>
      <c r="U981" s="7"/>
      <c r="V981" s="7"/>
      <c r="W981" s="7"/>
    </row>
    <row r="982" spans="1:23">
      <c r="A982" s="7"/>
      <c r="B982" s="8"/>
      <c r="C982" s="8"/>
      <c r="D982" s="7"/>
      <c r="E982" s="7"/>
      <c r="F982" s="7"/>
      <c r="G982" s="7"/>
      <c r="H982" s="143"/>
      <c r="I982" s="7"/>
      <c r="J982" s="7"/>
      <c r="K982" s="7"/>
      <c r="L982" s="7"/>
      <c r="M982" s="7"/>
      <c r="N982" s="7"/>
      <c r="O982" s="7"/>
      <c r="P982" s="7"/>
      <c r="Q982" s="7"/>
      <c r="R982" s="7"/>
      <c r="S982" s="7"/>
      <c r="T982" s="7"/>
      <c r="U982" s="7"/>
      <c r="V982" s="7"/>
      <c r="W982" s="7"/>
    </row>
    <row r="983" spans="1:23">
      <c r="A983" s="7"/>
      <c r="B983" s="8"/>
      <c r="C983" s="8"/>
      <c r="D983" s="7"/>
      <c r="E983" s="7"/>
      <c r="F983" s="7"/>
      <c r="G983" s="7"/>
      <c r="H983" s="143"/>
      <c r="I983" s="7"/>
      <c r="J983" s="7"/>
      <c r="K983" s="7"/>
      <c r="L983" s="7"/>
      <c r="M983" s="7"/>
      <c r="N983" s="7"/>
      <c r="O983" s="7"/>
      <c r="P983" s="7"/>
      <c r="Q983" s="7"/>
      <c r="R983" s="7"/>
      <c r="S983" s="7"/>
      <c r="T983" s="7"/>
      <c r="U983" s="7"/>
      <c r="V983" s="7"/>
      <c r="W983" s="7"/>
    </row>
    <row r="984" spans="1:23">
      <c r="A984" s="7"/>
      <c r="B984" s="8"/>
      <c r="C984" s="8"/>
      <c r="D984" s="7"/>
      <c r="E984" s="7"/>
      <c r="F984" s="7"/>
      <c r="G984" s="7"/>
      <c r="H984" s="143"/>
      <c r="I984" s="7"/>
      <c r="J984" s="7"/>
      <c r="K984" s="7"/>
      <c r="L984" s="7"/>
      <c r="M984" s="7"/>
      <c r="N984" s="7"/>
      <c r="O984" s="7"/>
      <c r="P984" s="7"/>
      <c r="Q984" s="7"/>
      <c r="R984" s="7"/>
      <c r="S984" s="7"/>
      <c r="T984" s="7"/>
      <c r="U984" s="7"/>
      <c r="V984" s="7"/>
      <c r="W984" s="7"/>
    </row>
    <row r="985" spans="1:23">
      <c r="A985" s="7"/>
      <c r="B985" s="8"/>
      <c r="C985" s="8"/>
      <c r="D985" s="7"/>
      <c r="E985" s="7"/>
      <c r="F985" s="7"/>
      <c r="G985" s="7"/>
      <c r="H985" s="143"/>
      <c r="I985" s="7"/>
      <c r="J985" s="7"/>
      <c r="K985" s="7"/>
      <c r="L985" s="7"/>
      <c r="M985" s="7"/>
      <c r="N985" s="7"/>
      <c r="O985" s="7"/>
      <c r="P985" s="7"/>
      <c r="Q985" s="7"/>
      <c r="R985" s="7"/>
      <c r="S985" s="7"/>
      <c r="T985" s="7"/>
      <c r="U985" s="7"/>
      <c r="V985" s="7"/>
      <c r="W985" s="7"/>
    </row>
    <row r="986" spans="1:23">
      <c r="A986" s="7"/>
      <c r="B986" s="8"/>
      <c r="C986" s="8"/>
      <c r="D986" s="7"/>
      <c r="E986" s="7"/>
      <c r="F986" s="7"/>
      <c r="G986" s="7"/>
      <c r="H986" s="143"/>
      <c r="I986" s="7"/>
      <c r="J986" s="7"/>
      <c r="K986" s="7"/>
      <c r="L986" s="7"/>
      <c r="M986" s="7"/>
      <c r="N986" s="7"/>
      <c r="O986" s="7"/>
      <c r="P986" s="7"/>
      <c r="Q986" s="7"/>
      <c r="R986" s="7"/>
      <c r="S986" s="7"/>
      <c r="T986" s="7"/>
      <c r="U986" s="7"/>
      <c r="V986" s="7"/>
      <c r="W986" s="7"/>
    </row>
    <row r="987" spans="1:23">
      <c r="A987" s="7"/>
      <c r="B987" s="8"/>
      <c r="C987" s="8"/>
      <c r="D987" s="7"/>
      <c r="E987" s="7"/>
      <c r="F987" s="7"/>
      <c r="G987" s="7"/>
      <c r="H987" s="143"/>
      <c r="I987" s="7"/>
      <c r="J987" s="7"/>
      <c r="K987" s="7"/>
      <c r="L987" s="7"/>
      <c r="M987" s="7"/>
      <c r="N987" s="7"/>
      <c r="O987" s="7"/>
      <c r="P987" s="7"/>
      <c r="Q987" s="7"/>
      <c r="R987" s="7"/>
      <c r="S987" s="7"/>
      <c r="T987" s="7"/>
      <c r="U987" s="7"/>
      <c r="V987" s="7"/>
      <c r="W987" s="7"/>
    </row>
    <row r="988" spans="1:23">
      <c r="A988" s="7"/>
      <c r="B988" s="8"/>
      <c r="C988" s="8"/>
      <c r="D988" s="7"/>
      <c r="E988" s="7"/>
      <c r="F988" s="7"/>
      <c r="G988" s="7"/>
      <c r="H988" s="143"/>
      <c r="I988" s="7"/>
      <c r="J988" s="7"/>
      <c r="K988" s="7"/>
      <c r="L988" s="7"/>
      <c r="M988" s="7"/>
      <c r="N988" s="7"/>
      <c r="O988" s="7"/>
      <c r="P988" s="7"/>
      <c r="Q988" s="7"/>
      <c r="R988" s="7"/>
      <c r="S988" s="7"/>
      <c r="T988" s="7"/>
      <c r="U988" s="7"/>
      <c r="V988" s="7"/>
      <c r="W988" s="7"/>
    </row>
    <row r="989" spans="1:23">
      <c r="A989" s="7"/>
      <c r="B989" s="8"/>
      <c r="C989" s="8"/>
      <c r="D989" s="7"/>
      <c r="E989" s="7"/>
      <c r="F989" s="7"/>
      <c r="G989" s="7"/>
      <c r="H989" s="143"/>
      <c r="I989" s="7"/>
      <c r="J989" s="7"/>
      <c r="K989" s="7"/>
      <c r="L989" s="7"/>
      <c r="M989" s="7"/>
      <c r="N989" s="7"/>
      <c r="O989" s="7"/>
      <c r="P989" s="7"/>
      <c r="Q989" s="7"/>
      <c r="R989" s="7"/>
      <c r="S989" s="7"/>
      <c r="T989" s="7"/>
      <c r="U989" s="7"/>
      <c r="V989" s="7"/>
      <c r="W989" s="7"/>
    </row>
    <row r="990" spans="1:23">
      <c r="A990" s="7"/>
      <c r="B990" s="8"/>
      <c r="C990" s="8"/>
      <c r="D990" s="7"/>
      <c r="E990" s="7"/>
      <c r="F990" s="7"/>
      <c r="G990" s="7"/>
      <c r="H990" s="143"/>
      <c r="I990" s="7"/>
      <c r="J990" s="7"/>
      <c r="K990" s="7"/>
      <c r="L990" s="7"/>
      <c r="M990" s="7"/>
      <c r="N990" s="7"/>
      <c r="O990" s="7"/>
      <c r="P990" s="7"/>
      <c r="Q990" s="7"/>
      <c r="R990" s="7"/>
      <c r="S990" s="7"/>
      <c r="T990" s="7"/>
      <c r="U990" s="7"/>
      <c r="V990" s="7"/>
      <c r="W990" s="7"/>
    </row>
    <row r="991" spans="1:23">
      <c r="A991" s="7"/>
      <c r="B991" s="8"/>
      <c r="C991" s="8"/>
      <c r="D991" s="7"/>
      <c r="E991" s="7"/>
      <c r="F991" s="7"/>
      <c r="G991" s="7"/>
      <c r="H991" s="143"/>
      <c r="I991" s="7"/>
      <c r="J991" s="7"/>
      <c r="K991" s="7"/>
      <c r="L991" s="7"/>
      <c r="M991" s="7"/>
      <c r="N991" s="7"/>
      <c r="O991" s="7"/>
      <c r="P991" s="7"/>
      <c r="Q991" s="7"/>
      <c r="R991" s="7"/>
      <c r="S991" s="7"/>
      <c r="T991" s="7"/>
      <c r="U991" s="7"/>
      <c r="V991" s="7"/>
      <c r="W991" s="7"/>
    </row>
    <row r="992" spans="1:23">
      <c r="A992" s="7"/>
      <c r="B992" s="8"/>
      <c r="C992" s="8"/>
      <c r="D992" s="7"/>
      <c r="E992" s="7"/>
      <c r="F992" s="7"/>
      <c r="G992" s="7"/>
      <c r="H992" s="143"/>
      <c r="I992" s="7"/>
      <c r="J992" s="7"/>
      <c r="K992" s="7"/>
      <c r="L992" s="7"/>
      <c r="M992" s="7"/>
      <c r="N992" s="7"/>
      <c r="O992" s="7"/>
      <c r="P992" s="7"/>
      <c r="Q992" s="7"/>
      <c r="R992" s="7"/>
      <c r="S992" s="7"/>
      <c r="T992" s="7"/>
      <c r="U992" s="7"/>
      <c r="V992" s="7"/>
      <c r="W992" s="7"/>
    </row>
    <row r="993" spans="1:23">
      <c r="A993" s="7"/>
      <c r="B993" s="8"/>
      <c r="C993" s="8"/>
      <c r="D993" s="7"/>
      <c r="E993" s="7"/>
      <c r="F993" s="7"/>
      <c r="G993" s="7"/>
      <c r="H993" s="143"/>
      <c r="I993" s="7"/>
      <c r="J993" s="7"/>
      <c r="K993" s="7"/>
      <c r="L993" s="7"/>
      <c r="M993" s="7"/>
      <c r="N993" s="7"/>
      <c r="O993" s="7"/>
      <c r="P993" s="7"/>
      <c r="Q993" s="7"/>
      <c r="R993" s="7"/>
      <c r="S993" s="7"/>
      <c r="T993" s="7"/>
      <c r="U993" s="7"/>
      <c r="V993" s="7"/>
      <c r="W993" s="7"/>
    </row>
    <row r="994" spans="1:23">
      <c r="A994" s="7"/>
      <c r="B994" s="8"/>
      <c r="C994" s="8"/>
      <c r="D994" s="7"/>
      <c r="E994" s="7"/>
      <c r="F994" s="7"/>
      <c r="G994" s="7"/>
      <c r="H994" s="143"/>
      <c r="I994" s="7"/>
      <c r="J994" s="7"/>
      <c r="K994" s="7"/>
      <c r="L994" s="7"/>
      <c r="M994" s="7"/>
      <c r="N994" s="7"/>
      <c r="O994" s="7"/>
      <c r="P994" s="7"/>
      <c r="Q994" s="7"/>
      <c r="R994" s="7"/>
      <c r="S994" s="7"/>
      <c r="T994" s="7"/>
      <c r="U994" s="7"/>
      <c r="V994" s="7"/>
      <c r="W994" s="7"/>
    </row>
    <row r="995" spans="1:23">
      <c r="A995" s="7"/>
      <c r="B995" s="8"/>
      <c r="C995" s="8"/>
      <c r="D995" s="7"/>
      <c r="E995" s="7"/>
      <c r="F995" s="7"/>
      <c r="G995" s="7"/>
      <c r="H995" s="143"/>
      <c r="I995" s="7"/>
      <c r="J995" s="7"/>
      <c r="K995" s="7"/>
      <c r="L995" s="7"/>
      <c r="M995" s="7"/>
      <c r="N995" s="7"/>
      <c r="O995" s="7"/>
      <c r="P995" s="7"/>
      <c r="Q995" s="7"/>
      <c r="R995" s="7"/>
      <c r="S995" s="7"/>
      <c r="T995" s="7"/>
      <c r="U995" s="7"/>
      <c r="V995" s="7"/>
      <c r="W995" s="7"/>
    </row>
    <row r="996" spans="1:23">
      <c r="A996" s="7"/>
      <c r="B996" s="8"/>
      <c r="C996" s="8"/>
      <c r="D996" s="7"/>
      <c r="E996" s="7"/>
      <c r="F996" s="7"/>
      <c r="G996" s="7"/>
      <c r="H996" s="143"/>
      <c r="I996" s="7"/>
      <c r="J996" s="7"/>
      <c r="K996" s="7"/>
      <c r="L996" s="7"/>
      <c r="M996" s="7"/>
      <c r="N996" s="7"/>
      <c r="O996" s="7"/>
      <c r="P996" s="7"/>
      <c r="Q996" s="7"/>
      <c r="R996" s="7"/>
      <c r="S996" s="7"/>
      <c r="T996" s="7"/>
      <c r="U996" s="7"/>
      <c r="V996" s="7"/>
      <c r="W996" s="7"/>
    </row>
    <row r="997" spans="1:23">
      <c r="A997" s="7"/>
      <c r="B997" s="8"/>
      <c r="C997" s="8"/>
      <c r="D997" s="7"/>
      <c r="E997" s="7"/>
      <c r="F997" s="7"/>
      <c r="G997" s="7"/>
      <c r="H997" s="143"/>
      <c r="I997" s="7"/>
      <c r="J997" s="7"/>
      <c r="K997" s="7"/>
      <c r="L997" s="7"/>
      <c r="M997" s="7"/>
      <c r="N997" s="7"/>
      <c r="O997" s="7"/>
      <c r="P997" s="7"/>
      <c r="Q997" s="7"/>
      <c r="R997" s="7"/>
      <c r="S997" s="7"/>
      <c r="T997" s="7"/>
      <c r="U997" s="7"/>
      <c r="V997" s="7"/>
      <c r="W997" s="7"/>
    </row>
    <row r="998" spans="1:23">
      <c r="A998" s="7"/>
      <c r="B998" s="8"/>
      <c r="C998" s="8"/>
      <c r="D998" s="7"/>
      <c r="E998" s="7"/>
      <c r="F998" s="7"/>
      <c r="G998" s="7"/>
      <c r="H998" s="143"/>
      <c r="I998" s="7"/>
      <c r="J998" s="7"/>
      <c r="K998" s="7"/>
      <c r="L998" s="7"/>
      <c r="M998" s="7"/>
      <c r="N998" s="7"/>
      <c r="O998" s="7"/>
      <c r="P998" s="7"/>
      <c r="Q998" s="7"/>
      <c r="R998" s="7"/>
      <c r="S998" s="7"/>
      <c r="T998" s="7"/>
      <c r="U998" s="7"/>
      <c r="V998" s="7"/>
      <c r="W998" s="7"/>
    </row>
    <row r="999" spans="1:23">
      <c r="A999" s="7"/>
      <c r="B999" s="8"/>
      <c r="C999" s="8"/>
      <c r="D999" s="7"/>
      <c r="E999" s="7"/>
      <c r="F999" s="7"/>
      <c r="G999" s="7"/>
      <c r="H999" s="143"/>
      <c r="I999" s="7"/>
      <c r="J999" s="7"/>
      <c r="K999" s="7"/>
      <c r="L999" s="7"/>
      <c r="M999" s="7"/>
      <c r="N999" s="7"/>
      <c r="O999" s="7"/>
      <c r="P999" s="7"/>
      <c r="Q999" s="7"/>
      <c r="R999" s="7"/>
      <c r="S999" s="7"/>
      <c r="T999" s="7"/>
      <c r="U999" s="7"/>
      <c r="V999" s="7"/>
      <c r="W999" s="7"/>
    </row>
    <row r="1000" spans="1:23">
      <c r="A1000" s="7"/>
      <c r="B1000" s="8"/>
      <c r="C1000" s="8"/>
      <c r="D1000" s="7"/>
      <c r="E1000" s="7"/>
      <c r="F1000" s="7"/>
      <c r="G1000" s="7"/>
      <c r="H1000" s="143"/>
      <c r="I1000" s="7"/>
      <c r="J1000" s="7"/>
      <c r="K1000" s="7"/>
      <c r="L1000" s="7"/>
      <c r="M1000" s="7"/>
      <c r="N1000" s="7"/>
      <c r="O1000" s="7"/>
      <c r="P1000" s="7"/>
      <c r="Q1000" s="7"/>
      <c r="R1000" s="7"/>
      <c r="S1000" s="7"/>
      <c r="T1000" s="7"/>
      <c r="U1000" s="7"/>
      <c r="V1000" s="7"/>
      <c r="W1000" s="7"/>
    </row>
    <row r="1001" spans="1:23">
      <c r="A1001" s="7"/>
      <c r="B1001" s="8"/>
      <c r="C1001" s="8"/>
      <c r="D1001" s="7"/>
      <c r="E1001" s="7"/>
      <c r="F1001" s="7"/>
      <c r="G1001" s="7"/>
      <c r="H1001" s="143"/>
      <c r="I1001" s="7"/>
      <c r="J1001" s="7"/>
      <c r="K1001" s="7"/>
      <c r="L1001" s="7"/>
      <c r="M1001" s="7"/>
      <c r="N1001" s="7"/>
      <c r="O1001" s="7"/>
      <c r="P1001" s="7"/>
      <c r="Q1001" s="7"/>
      <c r="R1001" s="7"/>
      <c r="S1001" s="7"/>
      <c r="T1001" s="7"/>
      <c r="U1001" s="7"/>
      <c r="V1001" s="7"/>
      <c r="W1001" s="7"/>
    </row>
  </sheetData>
  <pageMargins left="0.69930555555555596" right="0.69930555555555596" top="0.75" bottom="0.75" header="0.3" footer="0.3"/>
  <pageSetup orientation="landscape"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8"/>
  <sheetViews>
    <sheetView workbookViewId="0">
      <selection activeCell="H17" sqref="H17"/>
    </sheetView>
  </sheetViews>
  <sheetFormatPr defaultColWidth="8.7109375" defaultRowHeight="15"/>
  <cols>
    <col min="1" max="1" width="26.28515625" customWidth="1"/>
  </cols>
  <sheetData>
    <row r="1" spans="1:2">
      <c r="A1" s="1" t="s">
        <v>572</v>
      </c>
      <c r="B1" s="1" t="s">
        <v>573</v>
      </c>
    </row>
    <row r="2" spans="1:2">
      <c r="A2" t="s">
        <v>6</v>
      </c>
      <c r="B2">
        <v>0</v>
      </c>
    </row>
    <row r="3" spans="1:2">
      <c r="A3" t="s">
        <v>9</v>
      </c>
      <c r="B3">
        <v>1</v>
      </c>
    </row>
    <row r="4" spans="1:2">
      <c r="A4" t="s">
        <v>16</v>
      </c>
      <c r="B4">
        <v>2</v>
      </c>
    </row>
    <row r="5" spans="1:2">
      <c r="A5" t="s">
        <v>23</v>
      </c>
      <c r="B5">
        <v>3</v>
      </c>
    </row>
    <row r="6" spans="1:2">
      <c r="A6" t="s">
        <v>29</v>
      </c>
      <c r="B6">
        <v>4</v>
      </c>
    </row>
    <row r="7" spans="1:2">
      <c r="A7" t="s">
        <v>35</v>
      </c>
      <c r="B7">
        <v>5</v>
      </c>
    </row>
    <row r="8" spans="1:2">
      <c r="A8" t="s">
        <v>574</v>
      </c>
      <c r="B8" t="s">
        <v>575</v>
      </c>
    </row>
  </sheetData>
  <pageMargins left="0.69930555555555596" right="0.69930555555555596"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H137"/>
  <sheetViews>
    <sheetView tabSelected="1" zoomScale="85" zoomScaleNormal="85" workbookViewId="0">
      <selection activeCell="B2" sqref="B2"/>
    </sheetView>
  </sheetViews>
  <sheetFormatPr defaultRowHeight="15"/>
  <cols>
    <col min="1" max="1" width="10" customWidth="1"/>
    <col min="2" max="2" width="75.7109375" customWidth="1"/>
    <col min="3" max="3" width="5.7109375" customWidth="1"/>
    <col min="4" max="4" width="4" customWidth="1"/>
    <col min="5" max="5" width="16" customWidth="1"/>
    <col min="6" max="6" width="43.7109375" customWidth="1"/>
    <col min="7" max="7" width="114.7109375" style="192" customWidth="1"/>
    <col min="8" max="8" width="26.7109375" customWidth="1"/>
  </cols>
  <sheetData>
    <row r="2" spans="1:8" ht="22.5">
      <c r="B2" s="190" t="s">
        <v>902</v>
      </c>
      <c r="C2" s="188"/>
      <c r="D2" s="186"/>
      <c r="E2" s="188"/>
      <c r="F2" s="187"/>
    </row>
    <row r="4" spans="1:8" ht="20.25">
      <c r="A4" s="188"/>
    </row>
    <row r="5" spans="1:8">
      <c r="B5" s="165" t="s">
        <v>901</v>
      </c>
    </row>
    <row r="6" spans="1:8" ht="18.75">
      <c r="A6" s="191" t="s">
        <v>903</v>
      </c>
    </row>
    <row r="7" spans="1:8" ht="20.25">
      <c r="A7" s="184"/>
      <c r="C7" s="164" t="s">
        <v>936</v>
      </c>
    </row>
    <row r="8" spans="1:8" ht="18.75">
      <c r="A8" s="189" t="s">
        <v>937</v>
      </c>
    </row>
    <row r="9" spans="1:8" ht="18.75">
      <c r="A9" s="189" t="s">
        <v>938</v>
      </c>
    </row>
    <row r="10" spans="1:8" ht="18.75">
      <c r="A10" s="185" t="s">
        <v>939</v>
      </c>
    </row>
    <row r="13" spans="1:8" ht="18.75">
      <c r="C13" s="166" t="s">
        <v>647</v>
      </c>
      <c r="D13" s="166"/>
    </row>
    <row r="14" spans="1:8" ht="15.75">
      <c r="A14" s="167" t="s">
        <v>645</v>
      </c>
      <c r="B14" s="171" t="s">
        <v>646</v>
      </c>
      <c r="C14" s="167" t="s">
        <v>648</v>
      </c>
      <c r="D14" s="167" t="s">
        <v>649</v>
      </c>
      <c r="E14" s="167" t="s">
        <v>650</v>
      </c>
      <c r="F14" s="167" t="s">
        <v>651</v>
      </c>
      <c r="G14" s="193" t="s">
        <v>654</v>
      </c>
      <c r="H14" s="167" t="s">
        <v>652</v>
      </c>
    </row>
    <row r="15" spans="1:8" ht="15.75">
      <c r="A15" s="168" t="s">
        <v>653</v>
      </c>
      <c r="B15" s="172" t="s">
        <v>655</v>
      </c>
      <c r="C15" s="175" t="s">
        <v>896</v>
      </c>
      <c r="D15" s="174"/>
      <c r="E15" s="174"/>
      <c r="F15" s="174"/>
      <c r="G15" s="195" t="s">
        <v>904</v>
      </c>
      <c r="H15" s="181">
        <v>5</v>
      </c>
    </row>
    <row r="16" spans="1:8" ht="15.75">
      <c r="A16" s="168" t="s">
        <v>657</v>
      </c>
      <c r="B16" s="172" t="s">
        <v>656</v>
      </c>
      <c r="C16" s="175" t="s">
        <v>896</v>
      </c>
      <c r="D16" s="174"/>
      <c r="E16" s="174"/>
      <c r="F16" s="174"/>
      <c r="G16" s="195" t="s">
        <v>907</v>
      </c>
      <c r="H16" s="181">
        <v>5</v>
      </c>
    </row>
    <row r="17" spans="1:8" ht="15.75">
      <c r="A17" s="179" t="s">
        <v>658</v>
      </c>
      <c r="B17" s="180" t="s">
        <v>655</v>
      </c>
      <c r="C17" s="176"/>
      <c r="D17" s="176"/>
      <c r="E17" s="176"/>
      <c r="F17" s="176"/>
      <c r="G17" s="196"/>
      <c r="H17" s="182"/>
    </row>
    <row r="18" spans="1:8" ht="15.75">
      <c r="A18" s="168" t="s">
        <v>659</v>
      </c>
      <c r="B18" s="172" t="s">
        <v>673</v>
      </c>
      <c r="C18" s="175" t="s">
        <v>896</v>
      </c>
      <c r="D18" s="174"/>
      <c r="E18" s="174"/>
      <c r="F18" s="174"/>
      <c r="G18" s="195" t="s">
        <v>904</v>
      </c>
      <c r="H18" s="181">
        <v>4</v>
      </c>
    </row>
    <row r="19" spans="1:8" ht="15.75">
      <c r="A19" s="168" t="s">
        <v>660</v>
      </c>
      <c r="B19" s="172" t="s">
        <v>674</v>
      </c>
      <c r="C19" s="175" t="s">
        <v>896</v>
      </c>
      <c r="D19" s="174"/>
      <c r="E19" s="174"/>
      <c r="F19" s="174"/>
      <c r="G19" s="195" t="s">
        <v>908</v>
      </c>
      <c r="H19" s="181">
        <v>3</v>
      </c>
    </row>
    <row r="20" spans="1:8" ht="15.75">
      <c r="A20" s="168" t="s">
        <v>661</v>
      </c>
      <c r="B20" s="172" t="s">
        <v>675</v>
      </c>
      <c r="C20" s="175" t="s">
        <v>896</v>
      </c>
      <c r="D20" s="174"/>
      <c r="E20" s="174"/>
      <c r="F20" s="174"/>
      <c r="G20" s="195" t="s">
        <v>909</v>
      </c>
      <c r="H20" s="181">
        <v>3</v>
      </c>
    </row>
    <row r="21" spans="1:8" ht="15.75">
      <c r="A21" s="168" t="s">
        <v>662</v>
      </c>
      <c r="B21" s="172" t="s">
        <v>676</v>
      </c>
      <c r="C21" s="175" t="s">
        <v>896</v>
      </c>
      <c r="D21" s="175"/>
      <c r="E21" s="174"/>
      <c r="F21" s="174"/>
      <c r="G21" s="223" t="s">
        <v>904</v>
      </c>
      <c r="H21" s="181">
        <v>4</v>
      </c>
    </row>
    <row r="22" spans="1:8" ht="15.75">
      <c r="A22" s="168" t="s">
        <v>663</v>
      </c>
      <c r="B22" s="172" t="s">
        <v>677</v>
      </c>
      <c r="C22" s="175" t="s">
        <v>896</v>
      </c>
      <c r="D22" s="174"/>
      <c r="E22" s="174"/>
      <c r="F22" s="174"/>
      <c r="G22" s="224"/>
      <c r="H22" s="181">
        <v>5</v>
      </c>
    </row>
    <row r="23" spans="1:8" ht="15.75">
      <c r="A23" s="168" t="s">
        <v>664</v>
      </c>
      <c r="B23" s="172" t="s">
        <v>678</v>
      </c>
      <c r="C23" s="175" t="s">
        <v>896</v>
      </c>
      <c r="D23" s="174"/>
      <c r="E23" s="174"/>
      <c r="F23" s="174"/>
      <c r="G23" s="225"/>
      <c r="H23" s="181">
        <v>5</v>
      </c>
    </row>
    <row r="24" spans="1:8" ht="15.75">
      <c r="A24" s="179" t="s">
        <v>665</v>
      </c>
      <c r="B24" s="180" t="s">
        <v>679</v>
      </c>
      <c r="C24" s="176"/>
      <c r="D24" s="176"/>
      <c r="E24" s="176"/>
      <c r="F24" s="176"/>
      <c r="G24" s="196"/>
      <c r="H24" s="182"/>
    </row>
    <row r="25" spans="1:8" ht="15.75">
      <c r="A25" s="168" t="s">
        <v>666</v>
      </c>
      <c r="B25" s="172" t="s">
        <v>680</v>
      </c>
      <c r="C25" s="175" t="s">
        <v>896</v>
      </c>
      <c r="D25" s="174"/>
      <c r="E25" s="174"/>
      <c r="F25" s="174"/>
      <c r="G25" s="197" t="s">
        <v>910</v>
      </c>
      <c r="H25" s="181">
        <v>5</v>
      </c>
    </row>
    <row r="26" spans="1:8" ht="15.75">
      <c r="A26" s="168" t="s">
        <v>667</v>
      </c>
      <c r="B26" s="172" t="s">
        <v>681</v>
      </c>
      <c r="C26" s="175" t="s">
        <v>896</v>
      </c>
      <c r="D26" s="174"/>
      <c r="E26" s="174"/>
      <c r="F26" s="174"/>
      <c r="G26" s="197" t="s">
        <v>911</v>
      </c>
      <c r="H26" s="181">
        <v>5</v>
      </c>
    </row>
    <row r="27" spans="1:8" ht="15.75">
      <c r="A27" s="168" t="s">
        <v>668</v>
      </c>
      <c r="B27" s="172" t="s">
        <v>682</v>
      </c>
      <c r="C27" s="174"/>
      <c r="D27" s="175" t="s">
        <v>896</v>
      </c>
      <c r="E27" s="174"/>
      <c r="F27" s="174"/>
      <c r="G27" s="197" t="s">
        <v>912</v>
      </c>
      <c r="H27" s="181">
        <v>4</v>
      </c>
    </row>
    <row r="28" spans="1:8" ht="47.25">
      <c r="A28" s="168" t="s">
        <v>669</v>
      </c>
      <c r="B28" s="172" t="s">
        <v>683</v>
      </c>
      <c r="C28" s="174"/>
      <c r="D28" s="175" t="s">
        <v>896</v>
      </c>
      <c r="E28" s="174"/>
      <c r="F28" s="174"/>
      <c r="G28" s="198" t="s">
        <v>913</v>
      </c>
      <c r="H28" s="181">
        <v>4</v>
      </c>
    </row>
    <row r="29" spans="1:8" ht="47.25">
      <c r="A29" s="168" t="s">
        <v>670</v>
      </c>
      <c r="B29" s="172" t="s">
        <v>684</v>
      </c>
      <c r="C29" s="175" t="s">
        <v>896</v>
      </c>
      <c r="D29" s="174"/>
      <c r="E29" s="174"/>
      <c r="F29" s="174"/>
      <c r="G29" s="199" t="s">
        <v>914</v>
      </c>
      <c r="H29" s="181">
        <v>3</v>
      </c>
    </row>
    <row r="30" spans="1:8" ht="47.25">
      <c r="A30" s="168" t="s">
        <v>671</v>
      </c>
      <c r="B30" s="172" t="s">
        <v>685</v>
      </c>
      <c r="C30" s="175" t="s">
        <v>896</v>
      </c>
      <c r="D30" s="174"/>
      <c r="E30" s="174"/>
      <c r="F30" s="174"/>
      <c r="G30" s="198" t="s">
        <v>913</v>
      </c>
      <c r="H30" s="181">
        <v>2</v>
      </c>
    </row>
    <row r="31" spans="1:8" ht="15.75">
      <c r="A31" s="179" t="s">
        <v>672</v>
      </c>
      <c r="B31" s="180" t="s">
        <v>686</v>
      </c>
      <c r="C31" s="176"/>
      <c r="D31" s="176"/>
      <c r="E31" s="176"/>
      <c r="F31" s="176"/>
      <c r="G31" s="196"/>
      <c r="H31" s="182"/>
    </row>
    <row r="32" spans="1:8" ht="15.75">
      <c r="A32" s="168" t="s">
        <v>687</v>
      </c>
      <c r="B32" s="172" t="s">
        <v>697</v>
      </c>
      <c r="C32" s="175" t="s">
        <v>896</v>
      </c>
      <c r="D32" s="174"/>
      <c r="E32" s="174"/>
      <c r="F32" s="174"/>
      <c r="G32" s="201" t="s">
        <v>905</v>
      </c>
      <c r="H32" s="181">
        <v>3</v>
      </c>
    </row>
    <row r="33" spans="1:8" ht="15.75">
      <c r="A33" s="168" t="s">
        <v>688</v>
      </c>
      <c r="B33" s="172" t="s">
        <v>698</v>
      </c>
      <c r="C33" s="175" t="s">
        <v>896</v>
      </c>
      <c r="D33" s="174"/>
      <c r="E33" s="174"/>
      <c r="F33" s="174"/>
      <c r="G33" s="226" t="s">
        <v>905</v>
      </c>
      <c r="H33" s="181">
        <v>5</v>
      </c>
    </row>
    <row r="34" spans="1:8" ht="15.75">
      <c r="A34" s="168" t="s">
        <v>689</v>
      </c>
      <c r="B34" s="172" t="s">
        <v>699</v>
      </c>
      <c r="C34" s="175" t="s">
        <v>896</v>
      </c>
      <c r="D34" s="174"/>
      <c r="E34" s="174"/>
      <c r="F34" s="174"/>
      <c r="G34" s="227"/>
      <c r="H34" s="181">
        <v>4</v>
      </c>
    </row>
    <row r="35" spans="1:8" ht="15.75">
      <c r="A35" s="168" t="s">
        <v>690</v>
      </c>
      <c r="B35" s="172" t="s">
        <v>700</v>
      </c>
      <c r="C35" s="175" t="s">
        <v>896</v>
      </c>
      <c r="D35" s="174"/>
      <c r="E35" s="174"/>
      <c r="F35" s="174"/>
      <c r="G35" s="226" t="s">
        <v>915</v>
      </c>
      <c r="H35" s="181">
        <v>3</v>
      </c>
    </row>
    <row r="36" spans="1:8" ht="15.75">
      <c r="A36" s="168" t="s">
        <v>691</v>
      </c>
      <c r="B36" s="172" t="s">
        <v>701</v>
      </c>
      <c r="C36" s="175" t="s">
        <v>896</v>
      </c>
      <c r="D36" s="174"/>
      <c r="E36" s="174"/>
      <c r="F36" s="174"/>
      <c r="G36" s="227"/>
      <c r="H36" s="181">
        <v>3</v>
      </c>
    </row>
    <row r="37" spans="1:8" ht="15.75">
      <c r="A37" s="168" t="s">
        <v>692</v>
      </c>
      <c r="B37" s="172" t="s">
        <v>702</v>
      </c>
      <c r="C37" s="175" t="s">
        <v>896</v>
      </c>
      <c r="D37" s="174"/>
      <c r="E37" s="174"/>
      <c r="F37" s="174"/>
      <c r="G37" s="228" t="s">
        <v>916</v>
      </c>
      <c r="H37" s="181">
        <v>5</v>
      </c>
    </row>
    <row r="38" spans="1:8" ht="15.75">
      <c r="A38" s="168" t="s">
        <v>693</v>
      </c>
      <c r="B38" s="172" t="s">
        <v>703</v>
      </c>
      <c r="C38" s="175" t="s">
        <v>896</v>
      </c>
      <c r="D38" s="174"/>
      <c r="E38" s="174"/>
      <c r="F38" s="174"/>
      <c r="G38" s="229"/>
      <c r="H38" s="181">
        <v>4</v>
      </c>
    </row>
    <row r="39" spans="1:8" ht="15.75">
      <c r="A39" s="169" t="s">
        <v>694</v>
      </c>
      <c r="B39" s="172" t="s">
        <v>704</v>
      </c>
      <c r="C39" s="174"/>
      <c r="D39" s="174"/>
      <c r="E39" s="174"/>
      <c r="F39" s="174"/>
      <c r="G39" s="229"/>
      <c r="H39" s="181">
        <v>2</v>
      </c>
    </row>
    <row r="40" spans="1:8" ht="15.75">
      <c r="A40" s="168" t="s">
        <v>695</v>
      </c>
      <c r="B40" s="172" t="s">
        <v>705</v>
      </c>
      <c r="C40" s="174"/>
      <c r="D40" s="175"/>
      <c r="E40" s="175" t="s">
        <v>896</v>
      </c>
      <c r="F40" s="175" t="s">
        <v>899</v>
      </c>
      <c r="G40" s="227"/>
      <c r="H40" s="181">
        <v>1</v>
      </c>
    </row>
    <row r="41" spans="1:8" ht="15.75">
      <c r="A41" s="179" t="s">
        <v>696</v>
      </c>
      <c r="B41" s="180" t="s">
        <v>702</v>
      </c>
      <c r="C41" s="176"/>
      <c r="D41" s="176"/>
      <c r="E41" s="176"/>
      <c r="F41" s="176"/>
      <c r="G41" s="200"/>
      <c r="H41" s="182"/>
    </row>
    <row r="42" spans="1:8" ht="15.75">
      <c r="A42" s="168" t="s">
        <v>706</v>
      </c>
      <c r="B42" s="172" t="s">
        <v>721</v>
      </c>
      <c r="C42" s="175" t="s">
        <v>896</v>
      </c>
      <c r="D42" s="174"/>
      <c r="E42" s="174"/>
      <c r="F42" s="174"/>
      <c r="G42" s="230" t="s">
        <v>906</v>
      </c>
      <c r="H42" s="181">
        <v>5</v>
      </c>
    </row>
    <row r="43" spans="1:8" ht="15.75">
      <c r="A43" s="168" t="s">
        <v>707</v>
      </c>
      <c r="B43" s="172" t="s">
        <v>722</v>
      </c>
      <c r="C43" s="175" t="s">
        <v>896</v>
      </c>
      <c r="D43" s="174"/>
      <c r="E43" s="174"/>
      <c r="F43" s="174"/>
      <c r="G43" s="231"/>
      <c r="H43" s="181">
        <v>5</v>
      </c>
    </row>
    <row r="44" spans="1:8" ht="15.75">
      <c r="A44" s="168" t="s">
        <v>708</v>
      </c>
      <c r="B44" s="172" t="s">
        <v>723</v>
      </c>
      <c r="C44" s="175" t="s">
        <v>896</v>
      </c>
      <c r="D44" s="174"/>
      <c r="E44" s="174"/>
      <c r="F44" s="174"/>
      <c r="G44" s="231"/>
      <c r="H44" s="181">
        <v>5</v>
      </c>
    </row>
    <row r="45" spans="1:8" ht="15.75">
      <c r="A45" s="168" t="s">
        <v>709</v>
      </c>
      <c r="B45" s="172" t="s">
        <v>724</v>
      </c>
      <c r="C45" s="175" t="s">
        <v>896</v>
      </c>
      <c r="D45" s="174"/>
      <c r="E45" s="174"/>
      <c r="F45" s="174"/>
      <c r="G45" s="231"/>
      <c r="H45" s="181">
        <v>5</v>
      </c>
    </row>
    <row r="46" spans="1:8" ht="15.75">
      <c r="A46" s="168" t="s">
        <v>710</v>
      </c>
      <c r="B46" s="172" t="s">
        <v>725</v>
      </c>
      <c r="C46" s="175" t="s">
        <v>896</v>
      </c>
      <c r="D46" s="174"/>
      <c r="E46" s="174"/>
      <c r="F46" s="174"/>
      <c r="G46" s="231"/>
      <c r="H46" s="181">
        <v>5</v>
      </c>
    </row>
    <row r="47" spans="1:8" ht="15.75">
      <c r="A47" s="168" t="s">
        <v>711</v>
      </c>
      <c r="B47" s="172" t="s">
        <v>726</v>
      </c>
      <c r="C47" s="175" t="s">
        <v>896</v>
      </c>
      <c r="D47" s="174"/>
      <c r="E47" s="174"/>
      <c r="F47" s="174"/>
      <c r="G47" s="231"/>
      <c r="H47" s="181">
        <v>5</v>
      </c>
    </row>
    <row r="48" spans="1:8" ht="15.75">
      <c r="A48" s="168" t="s">
        <v>712</v>
      </c>
      <c r="B48" s="172" t="s">
        <v>727</v>
      </c>
      <c r="C48" s="175" t="s">
        <v>896</v>
      </c>
      <c r="D48" s="174"/>
      <c r="E48" s="174"/>
      <c r="F48" s="174"/>
      <c r="G48" s="231"/>
      <c r="H48" s="181">
        <v>5</v>
      </c>
    </row>
    <row r="49" spans="1:8" ht="15.75">
      <c r="A49" s="168" t="s">
        <v>713</v>
      </c>
      <c r="B49" s="172" t="s">
        <v>728</v>
      </c>
      <c r="C49" s="175" t="s">
        <v>896</v>
      </c>
      <c r="D49" s="174"/>
      <c r="E49" s="174"/>
      <c r="F49" s="174"/>
      <c r="G49" s="231"/>
      <c r="H49" s="181">
        <v>5</v>
      </c>
    </row>
    <row r="50" spans="1:8" ht="15.75">
      <c r="A50" s="168" t="s">
        <v>714</v>
      </c>
      <c r="B50" s="172" t="s">
        <v>897</v>
      </c>
      <c r="C50" s="175" t="s">
        <v>896</v>
      </c>
      <c r="D50" s="174"/>
      <c r="E50" s="174"/>
      <c r="F50" s="174"/>
      <c r="G50" s="231"/>
      <c r="H50" s="181">
        <v>5</v>
      </c>
    </row>
    <row r="51" spans="1:8" ht="15.75">
      <c r="A51" s="168" t="s">
        <v>715</v>
      </c>
      <c r="B51" s="172" t="s">
        <v>729</v>
      </c>
      <c r="C51" s="175" t="s">
        <v>896</v>
      </c>
      <c r="D51" s="174"/>
      <c r="E51" s="174"/>
      <c r="F51" s="174"/>
      <c r="G51" s="231"/>
      <c r="H51" s="181">
        <v>5</v>
      </c>
    </row>
    <row r="52" spans="1:8" ht="15.75">
      <c r="A52" s="168" t="s">
        <v>716</v>
      </c>
      <c r="B52" s="172" t="s">
        <v>730</v>
      </c>
      <c r="C52" s="175" t="s">
        <v>896</v>
      </c>
      <c r="D52" s="174"/>
      <c r="E52" s="174"/>
      <c r="F52" s="174"/>
      <c r="G52" s="231"/>
      <c r="H52" s="181">
        <v>5</v>
      </c>
    </row>
    <row r="53" spans="1:8" ht="15.75">
      <c r="A53" s="168" t="s">
        <v>717</v>
      </c>
      <c r="B53" s="172" t="s">
        <v>731</v>
      </c>
      <c r="C53" s="175" t="s">
        <v>896</v>
      </c>
      <c r="D53" s="174"/>
      <c r="E53" s="174"/>
      <c r="F53" s="174"/>
      <c r="G53" s="231"/>
      <c r="H53" s="181">
        <v>5</v>
      </c>
    </row>
    <row r="54" spans="1:8" ht="15.75">
      <c r="A54" s="168" t="s">
        <v>718</v>
      </c>
      <c r="B54" s="172" t="s">
        <v>732</v>
      </c>
      <c r="C54" s="174"/>
      <c r="D54" s="175"/>
      <c r="E54" s="175" t="s">
        <v>896</v>
      </c>
      <c r="F54" s="175" t="s">
        <v>900</v>
      </c>
      <c r="G54" s="231"/>
      <c r="H54" s="181">
        <v>5</v>
      </c>
    </row>
    <row r="55" spans="1:8" ht="15.75">
      <c r="A55" s="168" t="s">
        <v>719</v>
      </c>
      <c r="B55" s="172" t="s">
        <v>733</v>
      </c>
      <c r="C55" s="175" t="s">
        <v>896</v>
      </c>
      <c r="D55" s="174"/>
      <c r="E55" s="175"/>
      <c r="F55" s="174"/>
      <c r="G55" s="232"/>
      <c r="H55" s="181">
        <v>4</v>
      </c>
    </row>
    <row r="56" spans="1:8" ht="15.75">
      <c r="A56" s="179" t="s">
        <v>720</v>
      </c>
      <c r="B56" s="180" t="s">
        <v>734</v>
      </c>
      <c r="C56" s="176"/>
      <c r="D56" s="176"/>
      <c r="E56" s="176"/>
      <c r="F56" s="176"/>
      <c r="G56" s="194"/>
      <c r="H56" s="182"/>
    </row>
    <row r="57" spans="1:8" ht="15.75">
      <c r="A57" s="168" t="s">
        <v>735</v>
      </c>
      <c r="B57" s="172" t="s">
        <v>754</v>
      </c>
      <c r="C57" s="175" t="s">
        <v>896</v>
      </c>
      <c r="D57" s="174"/>
      <c r="E57" s="174"/>
      <c r="F57" s="174"/>
      <c r="G57" s="217" t="s">
        <v>917</v>
      </c>
      <c r="H57" s="181">
        <v>5</v>
      </c>
    </row>
    <row r="58" spans="1:8" ht="15.75">
      <c r="A58" s="168" t="s">
        <v>736</v>
      </c>
      <c r="B58" s="172" t="s">
        <v>755</v>
      </c>
      <c r="C58" s="175" t="s">
        <v>896</v>
      </c>
      <c r="D58" s="174"/>
      <c r="E58" s="174"/>
      <c r="F58" s="174"/>
      <c r="G58" s="222"/>
      <c r="H58" s="181">
        <v>5</v>
      </c>
    </row>
    <row r="59" spans="1:8" ht="15.75">
      <c r="A59" s="179" t="s">
        <v>737</v>
      </c>
      <c r="B59" s="180" t="s">
        <v>756</v>
      </c>
      <c r="C59" s="176"/>
      <c r="D59" s="176"/>
      <c r="E59" s="176"/>
      <c r="F59" s="176"/>
      <c r="G59" s="194"/>
      <c r="H59" s="182"/>
    </row>
    <row r="60" spans="1:8" ht="15.6" customHeight="1">
      <c r="A60" s="168" t="s">
        <v>738</v>
      </c>
      <c r="B60" s="172" t="s">
        <v>757</v>
      </c>
      <c r="C60" s="175" t="s">
        <v>896</v>
      </c>
      <c r="D60" s="174"/>
      <c r="E60" s="174"/>
      <c r="F60" s="174"/>
      <c r="G60" s="217" t="s">
        <v>918</v>
      </c>
      <c r="H60" s="181">
        <v>4</v>
      </c>
    </row>
    <row r="61" spans="1:8" ht="15.75">
      <c r="A61" s="168" t="s">
        <v>739</v>
      </c>
      <c r="B61" s="172" t="s">
        <v>758</v>
      </c>
      <c r="C61" s="175" t="s">
        <v>896</v>
      </c>
      <c r="D61" s="174"/>
      <c r="E61" s="174"/>
      <c r="F61" s="174"/>
      <c r="G61" s="218"/>
      <c r="H61" s="181">
        <v>4</v>
      </c>
    </row>
    <row r="62" spans="1:8" ht="15.75">
      <c r="A62" s="168" t="s">
        <v>740</v>
      </c>
      <c r="B62" s="172" t="s">
        <v>759</v>
      </c>
      <c r="C62" s="175" t="s">
        <v>896</v>
      </c>
      <c r="D62" s="174"/>
      <c r="E62" s="174"/>
      <c r="F62" s="174"/>
      <c r="G62" s="218"/>
      <c r="H62" s="181">
        <v>4</v>
      </c>
    </row>
    <row r="63" spans="1:8" ht="15.75">
      <c r="A63" s="168" t="s">
        <v>741</v>
      </c>
      <c r="B63" s="172" t="s">
        <v>760</v>
      </c>
      <c r="C63" s="175" t="s">
        <v>896</v>
      </c>
      <c r="D63" s="174"/>
      <c r="E63" s="174"/>
      <c r="F63" s="174"/>
      <c r="G63" s="218"/>
      <c r="H63" s="181">
        <v>4</v>
      </c>
    </row>
    <row r="64" spans="1:8" ht="15.75">
      <c r="A64" s="168" t="s">
        <v>742</v>
      </c>
      <c r="B64" s="172" t="s">
        <v>761</v>
      </c>
      <c r="C64" s="175" t="s">
        <v>896</v>
      </c>
      <c r="D64" s="174"/>
      <c r="E64" s="174"/>
      <c r="F64" s="174"/>
      <c r="G64" s="218"/>
      <c r="H64" s="183">
        <v>4</v>
      </c>
    </row>
    <row r="65" spans="1:8" ht="15.75">
      <c r="A65" s="168" t="s">
        <v>743</v>
      </c>
      <c r="B65" s="172" t="s">
        <v>762</v>
      </c>
      <c r="C65" s="175" t="s">
        <v>896</v>
      </c>
      <c r="D65" s="175"/>
      <c r="E65" s="175"/>
      <c r="F65" s="174"/>
      <c r="G65" s="218"/>
      <c r="H65" s="181">
        <v>3</v>
      </c>
    </row>
    <row r="66" spans="1:8" ht="15.75">
      <c r="A66" s="168" t="s">
        <v>744</v>
      </c>
      <c r="B66" s="172" t="s">
        <v>763</v>
      </c>
      <c r="C66" s="175" t="s">
        <v>896</v>
      </c>
      <c r="D66" s="174"/>
      <c r="E66" s="174"/>
      <c r="F66" s="174"/>
      <c r="G66" s="218"/>
      <c r="H66" s="181">
        <v>4</v>
      </c>
    </row>
    <row r="67" spans="1:8" ht="15.75">
      <c r="A67" s="168" t="s">
        <v>745</v>
      </c>
      <c r="B67" s="172" t="s">
        <v>764</v>
      </c>
      <c r="C67" s="175" t="s">
        <v>896</v>
      </c>
      <c r="D67" s="174"/>
      <c r="E67" s="174"/>
      <c r="F67" s="174"/>
      <c r="G67" s="218"/>
      <c r="H67" s="181">
        <v>4</v>
      </c>
    </row>
    <row r="68" spans="1:8" ht="15.75">
      <c r="A68" s="168" t="s">
        <v>746</v>
      </c>
      <c r="B68" s="172" t="s">
        <v>765</v>
      </c>
      <c r="C68" s="175" t="s">
        <v>896</v>
      </c>
      <c r="D68" s="174"/>
      <c r="E68" s="174"/>
      <c r="F68" s="174"/>
      <c r="G68" s="218"/>
      <c r="H68" s="181">
        <v>4</v>
      </c>
    </row>
    <row r="69" spans="1:8" ht="15.75">
      <c r="A69" s="168" t="s">
        <v>747</v>
      </c>
      <c r="B69" s="172" t="s">
        <v>766</v>
      </c>
      <c r="C69" s="175" t="s">
        <v>896</v>
      </c>
      <c r="D69" s="174"/>
      <c r="E69" s="174"/>
      <c r="F69" s="174"/>
      <c r="G69" s="218"/>
      <c r="H69" s="181">
        <v>3</v>
      </c>
    </row>
    <row r="70" spans="1:8" ht="15.75">
      <c r="A70" s="168" t="s">
        <v>748</v>
      </c>
      <c r="B70" s="172" t="s">
        <v>767</v>
      </c>
      <c r="C70" s="175" t="s">
        <v>896</v>
      </c>
      <c r="D70" s="174"/>
      <c r="E70" s="174"/>
      <c r="F70" s="174"/>
      <c r="G70" s="218"/>
      <c r="H70" s="181">
        <v>4</v>
      </c>
    </row>
    <row r="71" spans="1:8" ht="15.75">
      <c r="A71" s="168" t="s">
        <v>749</v>
      </c>
      <c r="B71" s="172" t="s">
        <v>768</v>
      </c>
      <c r="C71" s="175" t="s">
        <v>896</v>
      </c>
      <c r="D71" s="174"/>
      <c r="E71" s="174"/>
      <c r="F71" s="174"/>
      <c r="G71" s="218"/>
      <c r="H71" s="181">
        <v>3</v>
      </c>
    </row>
    <row r="72" spans="1:8" ht="15.75">
      <c r="A72" s="168" t="s">
        <v>750</v>
      </c>
      <c r="B72" s="172" t="s">
        <v>769</v>
      </c>
      <c r="C72" s="175" t="s">
        <v>896</v>
      </c>
      <c r="D72" s="174"/>
      <c r="E72" s="174"/>
      <c r="F72" s="174"/>
      <c r="G72" s="219"/>
      <c r="H72" s="181">
        <v>2</v>
      </c>
    </row>
    <row r="73" spans="1:8" ht="15.75">
      <c r="A73" s="168" t="s">
        <v>751</v>
      </c>
      <c r="B73" s="172" t="s">
        <v>770</v>
      </c>
      <c r="C73" s="175" t="s">
        <v>896</v>
      </c>
      <c r="D73" s="174"/>
      <c r="E73" s="174"/>
      <c r="F73" s="174"/>
      <c r="G73" s="217" t="s">
        <v>919</v>
      </c>
      <c r="H73" s="181">
        <v>2</v>
      </c>
    </row>
    <row r="74" spans="1:8" ht="15.75">
      <c r="A74" s="168" t="s">
        <v>752</v>
      </c>
      <c r="B74" s="172" t="s">
        <v>771</v>
      </c>
      <c r="C74" s="175" t="s">
        <v>896</v>
      </c>
      <c r="D74" s="174"/>
      <c r="E74" s="174"/>
      <c r="F74" s="174"/>
      <c r="G74" s="219"/>
      <c r="H74" s="181">
        <v>2</v>
      </c>
    </row>
    <row r="75" spans="1:8" ht="15.75">
      <c r="A75" s="179" t="s">
        <v>753</v>
      </c>
      <c r="B75" s="180" t="s">
        <v>772</v>
      </c>
      <c r="C75" s="176"/>
      <c r="D75" s="176"/>
      <c r="E75" s="176"/>
      <c r="F75" s="176"/>
      <c r="G75" s="194"/>
      <c r="H75" s="182"/>
    </row>
    <row r="76" spans="1:8" ht="15.75">
      <c r="A76" s="168" t="s">
        <v>773</v>
      </c>
      <c r="B76" s="172" t="s">
        <v>786</v>
      </c>
      <c r="C76" s="175" t="s">
        <v>896</v>
      </c>
      <c r="D76" s="174"/>
      <c r="E76" s="174"/>
      <c r="F76" s="174"/>
      <c r="G76" s="220" t="s">
        <v>920</v>
      </c>
      <c r="H76" s="181">
        <v>5</v>
      </c>
    </row>
    <row r="77" spans="1:8" ht="15.75">
      <c r="A77" s="168" t="s">
        <v>774</v>
      </c>
      <c r="B77" s="172" t="s">
        <v>787</v>
      </c>
      <c r="C77" s="175" t="s">
        <v>896</v>
      </c>
      <c r="D77" s="174"/>
      <c r="E77" s="174"/>
      <c r="F77" s="174"/>
      <c r="G77" s="221"/>
      <c r="H77" s="181">
        <v>4</v>
      </c>
    </row>
    <row r="78" spans="1:8" ht="15.75">
      <c r="A78" s="168" t="s">
        <v>775</v>
      </c>
      <c r="B78" s="172" t="s">
        <v>788</v>
      </c>
      <c r="C78" s="175" t="s">
        <v>896</v>
      </c>
      <c r="D78" s="174"/>
      <c r="E78" s="174"/>
      <c r="F78" s="174"/>
      <c r="G78" s="221"/>
      <c r="H78" s="181">
        <v>3</v>
      </c>
    </row>
    <row r="79" spans="1:8" ht="15.75">
      <c r="A79" s="168" t="s">
        <v>776</v>
      </c>
      <c r="B79" s="172" t="s">
        <v>789</v>
      </c>
      <c r="C79" s="175" t="s">
        <v>896</v>
      </c>
      <c r="D79" s="174"/>
      <c r="E79" s="174"/>
      <c r="F79" s="174"/>
      <c r="G79" s="221"/>
      <c r="H79" s="181">
        <v>3</v>
      </c>
    </row>
    <row r="80" spans="1:8" ht="15.75">
      <c r="A80" s="168" t="s">
        <v>777</v>
      </c>
      <c r="B80" s="172" t="s">
        <v>790</v>
      </c>
      <c r="C80" s="175" t="s">
        <v>896</v>
      </c>
      <c r="D80" s="174"/>
      <c r="E80" s="174"/>
      <c r="F80" s="174"/>
      <c r="G80" s="221"/>
      <c r="H80" s="181">
        <v>5</v>
      </c>
    </row>
    <row r="81" spans="1:8" ht="15.75">
      <c r="A81" s="168" t="s">
        <v>778</v>
      </c>
      <c r="B81" s="172" t="s">
        <v>791</v>
      </c>
      <c r="C81" s="175" t="s">
        <v>896</v>
      </c>
      <c r="D81" s="174"/>
      <c r="E81" s="174"/>
      <c r="F81" s="174"/>
      <c r="G81" s="221"/>
      <c r="H81" s="181">
        <v>5</v>
      </c>
    </row>
    <row r="82" spans="1:8" ht="15.75">
      <c r="A82" s="168" t="s">
        <v>779</v>
      </c>
      <c r="B82" s="172" t="s">
        <v>792</v>
      </c>
      <c r="C82" s="175" t="s">
        <v>896</v>
      </c>
      <c r="D82" s="174"/>
      <c r="E82" s="174"/>
      <c r="F82" s="174"/>
      <c r="G82" s="221"/>
      <c r="H82" s="181">
        <v>5</v>
      </c>
    </row>
    <row r="83" spans="1:8" ht="15.75">
      <c r="A83" s="169" t="s">
        <v>780</v>
      </c>
      <c r="B83" s="172" t="s">
        <v>793</v>
      </c>
      <c r="C83" s="175" t="s">
        <v>896</v>
      </c>
      <c r="D83" s="174"/>
      <c r="E83" s="174"/>
      <c r="F83" s="174"/>
      <c r="G83" s="221"/>
      <c r="H83" s="181">
        <v>5</v>
      </c>
    </row>
    <row r="84" spans="1:8" ht="15.75">
      <c r="A84" s="168" t="s">
        <v>781</v>
      </c>
      <c r="B84" s="172" t="s">
        <v>794</v>
      </c>
      <c r="C84" s="175" t="s">
        <v>896</v>
      </c>
      <c r="D84" s="174"/>
      <c r="E84" s="174"/>
      <c r="F84" s="174"/>
      <c r="G84" s="221"/>
      <c r="H84" s="181">
        <v>5</v>
      </c>
    </row>
    <row r="85" spans="1:8" ht="15.75">
      <c r="A85" s="168" t="s">
        <v>782</v>
      </c>
      <c r="B85" s="172" t="s">
        <v>795</v>
      </c>
      <c r="C85" s="175" t="s">
        <v>896</v>
      </c>
      <c r="D85" s="174"/>
      <c r="E85" s="174"/>
      <c r="F85" s="174"/>
      <c r="G85" s="221"/>
      <c r="H85" s="181">
        <v>5</v>
      </c>
    </row>
    <row r="86" spans="1:8" ht="15.75">
      <c r="A86" s="168" t="s">
        <v>783</v>
      </c>
      <c r="B86" s="172" t="s">
        <v>796</v>
      </c>
      <c r="C86" s="175" t="s">
        <v>896</v>
      </c>
      <c r="D86" s="174"/>
      <c r="E86" s="174"/>
      <c r="F86" s="174"/>
      <c r="G86" s="221"/>
      <c r="H86" s="181">
        <v>4</v>
      </c>
    </row>
    <row r="87" spans="1:8" ht="15.75">
      <c r="A87" s="168" t="s">
        <v>784</v>
      </c>
      <c r="B87" s="172" t="s">
        <v>797</v>
      </c>
      <c r="C87" s="175" t="s">
        <v>896</v>
      </c>
      <c r="D87" s="174"/>
      <c r="E87" s="174"/>
      <c r="F87" s="174"/>
      <c r="G87" s="222"/>
      <c r="H87" s="181">
        <v>4</v>
      </c>
    </row>
    <row r="88" spans="1:8" ht="15.75">
      <c r="A88" s="179" t="s">
        <v>785</v>
      </c>
      <c r="B88" s="180" t="s">
        <v>798</v>
      </c>
      <c r="C88" s="176"/>
      <c r="D88" s="176"/>
      <c r="E88" s="176"/>
      <c r="F88" s="176"/>
      <c r="G88" s="194"/>
      <c r="H88" s="182"/>
    </row>
    <row r="89" spans="1:8" ht="15.75">
      <c r="A89" s="168" t="s">
        <v>799</v>
      </c>
      <c r="B89" s="172" t="s">
        <v>821</v>
      </c>
      <c r="C89" s="175" t="s">
        <v>896</v>
      </c>
      <c r="D89" s="174"/>
      <c r="E89" s="174"/>
      <c r="F89" s="174"/>
      <c r="G89" s="220" t="s">
        <v>921</v>
      </c>
      <c r="H89" s="181">
        <v>5</v>
      </c>
    </row>
    <row r="90" spans="1:8" ht="15.75">
      <c r="A90" s="168" t="s">
        <v>800</v>
      </c>
      <c r="B90" s="172" t="s">
        <v>822</v>
      </c>
      <c r="C90" s="175" t="s">
        <v>896</v>
      </c>
      <c r="D90" s="174"/>
      <c r="E90" s="174"/>
      <c r="F90" s="174"/>
      <c r="G90" s="221"/>
      <c r="H90" s="181">
        <v>5</v>
      </c>
    </row>
    <row r="91" spans="1:8" ht="15.75">
      <c r="A91" s="168" t="s">
        <v>801</v>
      </c>
      <c r="B91" s="172" t="s">
        <v>823</v>
      </c>
      <c r="C91" s="175" t="s">
        <v>896</v>
      </c>
      <c r="D91" s="174"/>
      <c r="E91" s="174"/>
      <c r="F91" s="174"/>
      <c r="G91" s="221"/>
      <c r="H91" s="181">
        <v>4</v>
      </c>
    </row>
    <row r="92" spans="1:8" ht="15.75">
      <c r="A92" s="168" t="s">
        <v>802</v>
      </c>
      <c r="B92" s="172" t="s">
        <v>824</v>
      </c>
      <c r="C92" s="175" t="s">
        <v>896</v>
      </c>
      <c r="D92" s="174"/>
      <c r="E92" s="174"/>
      <c r="F92" s="174"/>
      <c r="G92" s="221"/>
      <c r="H92" s="181">
        <v>5</v>
      </c>
    </row>
    <row r="93" spans="1:8" ht="15.75">
      <c r="A93" s="168" t="s">
        <v>803</v>
      </c>
      <c r="B93" s="172" t="s">
        <v>825</v>
      </c>
      <c r="C93" s="175" t="s">
        <v>896</v>
      </c>
      <c r="D93" s="174"/>
      <c r="E93" s="174"/>
      <c r="F93" s="174"/>
      <c r="G93" s="221"/>
      <c r="H93" s="181">
        <v>3</v>
      </c>
    </row>
    <row r="94" spans="1:8" ht="15.75">
      <c r="A94" s="168" t="s">
        <v>804</v>
      </c>
      <c r="B94" s="172" t="s">
        <v>826</v>
      </c>
      <c r="C94" s="175" t="s">
        <v>896</v>
      </c>
      <c r="D94" s="174"/>
      <c r="E94" s="174"/>
      <c r="F94" s="174"/>
      <c r="G94" s="221"/>
      <c r="H94" s="181">
        <v>3</v>
      </c>
    </row>
    <row r="95" spans="1:8" ht="15.75">
      <c r="A95" s="168" t="s">
        <v>805</v>
      </c>
      <c r="B95" s="172" t="s">
        <v>827</v>
      </c>
      <c r="C95" s="175" t="s">
        <v>896</v>
      </c>
      <c r="D95" s="174"/>
      <c r="E95" s="174"/>
      <c r="F95" s="174"/>
      <c r="G95" s="222"/>
      <c r="H95" s="181">
        <v>5</v>
      </c>
    </row>
    <row r="96" spans="1:8" ht="15.75">
      <c r="A96" s="179" t="s">
        <v>806</v>
      </c>
      <c r="B96" s="180" t="s">
        <v>828</v>
      </c>
      <c r="C96" s="176"/>
      <c r="D96" s="176"/>
      <c r="E96" s="176"/>
      <c r="F96" s="176"/>
      <c r="G96" s="194"/>
      <c r="H96" s="182"/>
    </row>
    <row r="97" spans="1:8" ht="15.75">
      <c r="A97" s="168" t="s">
        <v>807</v>
      </c>
      <c r="B97" s="172" t="s">
        <v>829</v>
      </c>
      <c r="C97" s="175" t="s">
        <v>896</v>
      </c>
      <c r="D97" s="174"/>
      <c r="E97" s="174"/>
      <c r="F97" s="174"/>
      <c r="G97" s="202" t="s">
        <v>922</v>
      </c>
      <c r="H97" s="183">
        <v>5</v>
      </c>
    </row>
    <row r="98" spans="1:8" ht="15.75">
      <c r="A98" s="168" t="s">
        <v>808</v>
      </c>
      <c r="B98" s="172" t="s">
        <v>830</v>
      </c>
      <c r="C98" s="175" t="s">
        <v>896</v>
      </c>
      <c r="D98" s="174"/>
      <c r="E98" s="174"/>
      <c r="F98" s="174"/>
      <c r="G98" s="217" t="s">
        <v>925</v>
      </c>
      <c r="H98" s="183">
        <v>4</v>
      </c>
    </row>
    <row r="99" spans="1:8" ht="15.75">
      <c r="A99" s="168" t="s">
        <v>809</v>
      </c>
      <c r="B99" s="172" t="s">
        <v>831</v>
      </c>
      <c r="C99" s="175" t="s">
        <v>896</v>
      </c>
      <c r="D99" s="174"/>
      <c r="E99" s="174"/>
      <c r="F99" s="174"/>
      <c r="G99" s="218"/>
      <c r="H99" s="181">
        <v>5</v>
      </c>
    </row>
    <row r="100" spans="1:8" ht="15.75">
      <c r="A100" s="168" t="s">
        <v>810</v>
      </c>
      <c r="B100" s="172" t="s">
        <v>832</v>
      </c>
      <c r="C100" s="175" t="s">
        <v>896</v>
      </c>
      <c r="D100" s="174"/>
      <c r="E100" s="174"/>
      <c r="F100" s="174"/>
      <c r="G100" s="218"/>
      <c r="H100" s="181">
        <v>5</v>
      </c>
    </row>
    <row r="101" spans="1:8" ht="15.75">
      <c r="A101" s="168" t="s">
        <v>811</v>
      </c>
      <c r="B101" s="172" t="s">
        <v>833</v>
      </c>
      <c r="C101" s="175" t="s">
        <v>896</v>
      </c>
      <c r="D101" s="174"/>
      <c r="E101" s="174"/>
      <c r="F101" s="174"/>
      <c r="G101" s="218"/>
      <c r="H101" s="181">
        <v>5</v>
      </c>
    </row>
    <row r="102" spans="1:8" ht="15.75">
      <c r="A102" s="168" t="s">
        <v>812</v>
      </c>
      <c r="B102" s="172" t="s">
        <v>898</v>
      </c>
      <c r="C102" s="175" t="s">
        <v>896</v>
      </c>
      <c r="D102" s="174"/>
      <c r="E102" s="174"/>
      <c r="F102" s="174"/>
      <c r="G102" s="218"/>
      <c r="H102" s="181">
        <v>5</v>
      </c>
    </row>
    <row r="103" spans="1:8" ht="15.75">
      <c r="A103" s="168" t="s">
        <v>813</v>
      </c>
      <c r="B103" s="172" t="s">
        <v>834</v>
      </c>
      <c r="C103" s="175" t="s">
        <v>896</v>
      </c>
      <c r="D103" s="174"/>
      <c r="E103" s="174"/>
      <c r="F103" s="174"/>
      <c r="G103" s="218"/>
      <c r="H103" s="181">
        <v>4</v>
      </c>
    </row>
    <row r="104" spans="1:8" ht="15.75">
      <c r="A104" s="168" t="s">
        <v>814</v>
      </c>
      <c r="B104" s="172" t="s">
        <v>835</v>
      </c>
      <c r="C104" s="175" t="s">
        <v>896</v>
      </c>
      <c r="D104" s="174"/>
      <c r="E104" s="174"/>
      <c r="F104" s="174"/>
      <c r="G104" s="218"/>
      <c r="H104" s="181">
        <v>5</v>
      </c>
    </row>
    <row r="105" spans="1:8" ht="15.75">
      <c r="A105" s="168" t="s">
        <v>815</v>
      </c>
      <c r="B105" s="172" t="s">
        <v>836</v>
      </c>
      <c r="C105" s="175" t="s">
        <v>896</v>
      </c>
      <c r="D105" s="174"/>
      <c r="E105" s="174"/>
      <c r="F105" s="174"/>
      <c r="G105" s="219"/>
      <c r="H105" s="181">
        <v>4</v>
      </c>
    </row>
    <row r="106" spans="1:8" ht="15.75">
      <c r="A106" s="168" t="s">
        <v>816</v>
      </c>
      <c r="B106" s="172" t="s">
        <v>837</v>
      </c>
      <c r="C106" s="175" t="s">
        <v>896</v>
      </c>
      <c r="D106" s="174"/>
      <c r="E106" s="174"/>
      <c r="F106" s="174"/>
      <c r="G106" s="202" t="s">
        <v>923</v>
      </c>
      <c r="H106" s="181">
        <v>4</v>
      </c>
    </row>
    <row r="107" spans="1:8" ht="15.75">
      <c r="A107" s="168" t="s">
        <v>817</v>
      </c>
      <c r="B107" s="172" t="s">
        <v>838</v>
      </c>
      <c r="C107" s="175" t="s">
        <v>896</v>
      </c>
      <c r="D107" s="174"/>
      <c r="E107" s="174"/>
      <c r="F107" s="174"/>
      <c r="G107" s="217" t="s">
        <v>924</v>
      </c>
      <c r="H107" s="181">
        <v>5</v>
      </c>
    </row>
    <row r="108" spans="1:8" ht="15.75">
      <c r="A108" s="168" t="s">
        <v>818</v>
      </c>
      <c r="B108" s="172" t="s">
        <v>839</v>
      </c>
      <c r="C108" s="175" t="s">
        <v>896</v>
      </c>
      <c r="D108" s="174"/>
      <c r="E108" s="174"/>
      <c r="F108" s="174"/>
      <c r="G108" s="218"/>
      <c r="H108" s="181">
        <v>5</v>
      </c>
    </row>
    <row r="109" spans="1:8" ht="15.75">
      <c r="A109" s="168" t="s">
        <v>819</v>
      </c>
      <c r="B109" s="172" t="s">
        <v>840</v>
      </c>
      <c r="C109" s="175" t="s">
        <v>896</v>
      </c>
      <c r="D109" s="174"/>
      <c r="E109" s="174"/>
      <c r="F109" s="174"/>
      <c r="G109" s="219"/>
      <c r="H109" s="181">
        <v>5</v>
      </c>
    </row>
    <row r="110" spans="1:8" ht="15.75">
      <c r="A110" s="179" t="s">
        <v>820</v>
      </c>
      <c r="B110" s="180" t="s">
        <v>841</v>
      </c>
      <c r="C110" s="176"/>
      <c r="D110" s="176"/>
      <c r="E110" s="176"/>
      <c r="F110" s="176"/>
      <c r="G110" s="194"/>
      <c r="H110" s="182"/>
    </row>
    <row r="111" spans="1:8" ht="15.75">
      <c r="A111" s="168" t="s">
        <v>842</v>
      </c>
      <c r="B111" s="172" t="s">
        <v>869</v>
      </c>
      <c r="C111" s="175" t="s">
        <v>896</v>
      </c>
      <c r="D111" s="174"/>
      <c r="E111" s="174"/>
      <c r="F111" s="174"/>
      <c r="G111" s="220" t="s">
        <v>926</v>
      </c>
      <c r="H111" s="181">
        <v>5</v>
      </c>
    </row>
    <row r="112" spans="1:8" ht="15.75">
      <c r="A112" s="168" t="s">
        <v>843</v>
      </c>
      <c r="B112" s="172" t="s">
        <v>870</v>
      </c>
      <c r="C112" s="175" t="s">
        <v>896</v>
      </c>
      <c r="D112" s="174"/>
      <c r="E112" s="174"/>
      <c r="F112" s="174"/>
      <c r="G112" s="221"/>
      <c r="H112" s="181">
        <v>4</v>
      </c>
    </row>
    <row r="113" spans="1:8" ht="15.75">
      <c r="A113" s="168" t="s">
        <v>844</v>
      </c>
      <c r="B113" s="172" t="s">
        <v>871</v>
      </c>
      <c r="C113" s="175" t="s">
        <v>896</v>
      </c>
      <c r="D113" s="174"/>
      <c r="E113" s="174"/>
      <c r="F113" s="174"/>
      <c r="G113" s="221"/>
      <c r="H113" s="181">
        <v>3</v>
      </c>
    </row>
    <row r="114" spans="1:8" ht="15.75">
      <c r="A114" s="168" t="s">
        <v>845</v>
      </c>
      <c r="B114" s="173" t="s">
        <v>872</v>
      </c>
      <c r="C114" s="175" t="s">
        <v>896</v>
      </c>
      <c r="D114" s="174"/>
      <c r="E114" s="174"/>
      <c r="F114" s="174"/>
      <c r="G114" s="221"/>
      <c r="H114" s="181">
        <v>3</v>
      </c>
    </row>
    <row r="115" spans="1:8" ht="15.75">
      <c r="A115" s="168" t="s">
        <v>846</v>
      </c>
      <c r="B115" s="173" t="s">
        <v>873</v>
      </c>
      <c r="C115" s="175" t="s">
        <v>896</v>
      </c>
      <c r="D115" s="174"/>
      <c r="E115" s="174"/>
      <c r="F115" s="174"/>
      <c r="G115" s="222"/>
      <c r="H115" s="183">
        <v>3</v>
      </c>
    </row>
    <row r="116" spans="1:8" ht="15.75">
      <c r="A116" s="179" t="s">
        <v>847</v>
      </c>
      <c r="B116" s="178" t="s">
        <v>874</v>
      </c>
      <c r="C116" s="176"/>
      <c r="D116" s="176"/>
      <c r="E116" s="176"/>
      <c r="F116" s="176"/>
      <c r="G116" s="194"/>
      <c r="H116" s="182"/>
    </row>
    <row r="117" spans="1:8" ht="15.75">
      <c r="A117" s="168" t="s">
        <v>848</v>
      </c>
      <c r="B117" s="173" t="s">
        <v>875</v>
      </c>
      <c r="C117" s="175" t="s">
        <v>896</v>
      </c>
      <c r="D117" s="174"/>
      <c r="E117" s="174"/>
      <c r="F117" s="174"/>
      <c r="G117" s="203" t="s">
        <v>927</v>
      </c>
      <c r="H117" s="181">
        <v>5</v>
      </c>
    </row>
    <row r="118" spans="1:8" ht="15.75">
      <c r="A118" s="168" t="s">
        <v>849</v>
      </c>
      <c r="B118" s="173" t="s">
        <v>876</v>
      </c>
      <c r="C118" s="175" t="s">
        <v>896</v>
      </c>
      <c r="D118" s="174"/>
      <c r="E118" s="174"/>
      <c r="F118" s="174"/>
      <c r="G118" s="217" t="s">
        <v>928</v>
      </c>
      <c r="H118" s="181">
        <v>5</v>
      </c>
    </row>
    <row r="119" spans="1:8" ht="15.75">
      <c r="A119" s="168" t="s">
        <v>850</v>
      </c>
      <c r="B119" s="173" t="s">
        <v>877</v>
      </c>
      <c r="C119" s="175" t="s">
        <v>896</v>
      </c>
      <c r="D119" s="174"/>
      <c r="E119" s="174"/>
      <c r="F119" s="174"/>
      <c r="G119" s="218"/>
      <c r="H119" s="181">
        <v>5</v>
      </c>
    </row>
    <row r="120" spans="1:8" ht="15.75">
      <c r="A120" s="168" t="s">
        <v>851</v>
      </c>
      <c r="B120" s="173" t="s">
        <v>878</v>
      </c>
      <c r="C120" s="175" t="s">
        <v>896</v>
      </c>
      <c r="D120" s="174"/>
      <c r="E120" s="174"/>
      <c r="F120" s="174"/>
      <c r="G120" s="218"/>
      <c r="H120" s="181">
        <v>5</v>
      </c>
    </row>
    <row r="121" spans="1:8" ht="15.75">
      <c r="A121" s="168" t="s">
        <v>852</v>
      </c>
      <c r="B121" s="173" t="s">
        <v>879</v>
      </c>
      <c r="C121" s="175" t="s">
        <v>896</v>
      </c>
      <c r="D121" s="174"/>
      <c r="E121" s="174"/>
      <c r="F121" s="174"/>
      <c r="G121" s="218"/>
      <c r="H121" s="181">
        <v>5</v>
      </c>
    </row>
    <row r="122" spans="1:8" ht="15.75">
      <c r="A122" s="169" t="s">
        <v>853</v>
      </c>
      <c r="B122" s="173" t="s">
        <v>880</v>
      </c>
      <c r="C122" s="175" t="s">
        <v>896</v>
      </c>
      <c r="D122" s="174"/>
      <c r="E122" s="174"/>
      <c r="F122" s="174"/>
      <c r="G122" s="219"/>
      <c r="H122" s="181">
        <v>5</v>
      </c>
    </row>
    <row r="123" spans="1:8" ht="15.75">
      <c r="A123" s="179" t="s">
        <v>854</v>
      </c>
      <c r="B123" s="178" t="s">
        <v>881</v>
      </c>
      <c r="C123" s="176"/>
      <c r="D123" s="176"/>
      <c r="E123" s="176"/>
      <c r="F123" s="176"/>
      <c r="G123" s="194"/>
      <c r="H123" s="182"/>
    </row>
    <row r="124" spans="1:8" ht="15.75">
      <c r="A124" s="170" t="s">
        <v>855</v>
      </c>
      <c r="B124" s="173" t="s">
        <v>882</v>
      </c>
      <c r="C124" s="175" t="s">
        <v>896</v>
      </c>
      <c r="D124" s="174"/>
      <c r="E124" s="174"/>
      <c r="F124" s="174"/>
      <c r="G124" s="217" t="s">
        <v>929</v>
      </c>
      <c r="H124" s="181">
        <v>5</v>
      </c>
    </row>
    <row r="125" spans="1:8" ht="15.75">
      <c r="A125" s="170" t="s">
        <v>856</v>
      </c>
      <c r="B125" s="173" t="s">
        <v>883</v>
      </c>
      <c r="C125" s="175" t="s">
        <v>896</v>
      </c>
      <c r="D125" s="174"/>
      <c r="E125" s="174"/>
      <c r="F125" s="174"/>
      <c r="G125" s="221"/>
      <c r="H125" s="181">
        <v>5</v>
      </c>
    </row>
    <row r="126" spans="1:8" ht="15.75">
      <c r="A126" s="170" t="s">
        <v>857</v>
      </c>
      <c r="B126" s="173" t="s">
        <v>884</v>
      </c>
      <c r="C126" s="175" t="s">
        <v>896</v>
      </c>
      <c r="D126" s="174"/>
      <c r="E126" s="174"/>
      <c r="F126" s="174"/>
      <c r="G126" s="221"/>
      <c r="H126" s="181">
        <v>5</v>
      </c>
    </row>
    <row r="127" spans="1:8" ht="15.75">
      <c r="A127" s="170" t="s">
        <v>858</v>
      </c>
      <c r="B127" s="173" t="s">
        <v>885</v>
      </c>
      <c r="C127" s="175" t="s">
        <v>896</v>
      </c>
      <c r="D127" s="174"/>
      <c r="E127" s="174"/>
      <c r="F127" s="174"/>
      <c r="G127" s="222"/>
      <c r="H127" s="181">
        <v>5</v>
      </c>
    </row>
    <row r="128" spans="1:8" ht="15.75">
      <c r="A128" s="177" t="s">
        <v>859</v>
      </c>
      <c r="B128" s="178" t="s">
        <v>886</v>
      </c>
      <c r="C128" s="176"/>
      <c r="D128" s="176"/>
      <c r="E128" s="176"/>
      <c r="F128" s="176"/>
      <c r="G128" s="194"/>
      <c r="H128" s="182"/>
    </row>
    <row r="129" spans="1:8" ht="15.75">
      <c r="A129" s="170" t="s">
        <v>860</v>
      </c>
      <c r="B129" s="173" t="s">
        <v>887</v>
      </c>
      <c r="C129" s="175" t="s">
        <v>896</v>
      </c>
      <c r="D129" s="174"/>
      <c r="E129" s="174"/>
      <c r="F129" s="174"/>
      <c r="G129" s="202" t="s">
        <v>930</v>
      </c>
      <c r="H129" s="181">
        <v>5</v>
      </c>
    </row>
    <row r="130" spans="1:8" ht="31.5">
      <c r="A130" s="170" t="s">
        <v>861</v>
      </c>
      <c r="B130" s="173" t="s">
        <v>888</v>
      </c>
      <c r="C130" s="175" t="s">
        <v>896</v>
      </c>
      <c r="D130" s="174"/>
      <c r="E130" s="174"/>
      <c r="F130" s="174"/>
      <c r="G130" s="202" t="s">
        <v>931</v>
      </c>
      <c r="H130" s="181">
        <v>3</v>
      </c>
    </row>
    <row r="131" spans="1:8" ht="15.75">
      <c r="A131" s="170" t="s">
        <v>862</v>
      </c>
      <c r="B131" s="173" t="s">
        <v>889</v>
      </c>
      <c r="C131" s="175" t="s">
        <v>896</v>
      </c>
      <c r="D131" s="174"/>
      <c r="E131" s="174"/>
      <c r="F131" s="174"/>
      <c r="G131" s="204" t="s">
        <v>932</v>
      </c>
      <c r="H131" s="181">
        <v>4</v>
      </c>
    </row>
    <row r="132" spans="1:8" ht="15.75">
      <c r="A132" s="170" t="s">
        <v>863</v>
      </c>
      <c r="B132" s="173" t="s">
        <v>890</v>
      </c>
      <c r="C132" s="175" t="s">
        <v>896</v>
      </c>
      <c r="D132" s="174"/>
      <c r="E132" s="174"/>
      <c r="F132" s="174"/>
      <c r="G132" s="204" t="s">
        <v>933</v>
      </c>
      <c r="H132" s="181">
        <v>5</v>
      </c>
    </row>
    <row r="133" spans="1:8" ht="15.75">
      <c r="A133" s="170" t="s">
        <v>864</v>
      </c>
      <c r="B133" s="173" t="s">
        <v>891</v>
      </c>
      <c r="C133" s="175" t="s">
        <v>896</v>
      </c>
      <c r="D133" s="174"/>
      <c r="E133" s="174"/>
      <c r="F133" s="174"/>
      <c r="G133" s="202" t="s">
        <v>934</v>
      </c>
      <c r="H133" s="181">
        <v>5</v>
      </c>
    </row>
    <row r="134" spans="1:8" ht="15.75">
      <c r="A134" s="170" t="s">
        <v>865</v>
      </c>
      <c r="B134" s="173" t="s">
        <v>892</v>
      </c>
      <c r="C134" s="175" t="s">
        <v>896</v>
      </c>
      <c r="D134" s="174"/>
      <c r="E134" s="174"/>
      <c r="F134" s="174"/>
      <c r="G134" s="202" t="s">
        <v>922</v>
      </c>
      <c r="H134" s="181">
        <v>5</v>
      </c>
    </row>
    <row r="135" spans="1:8" ht="15.75">
      <c r="A135" s="170" t="s">
        <v>866</v>
      </c>
      <c r="B135" s="173" t="s">
        <v>893</v>
      </c>
      <c r="C135" s="175" t="s">
        <v>896</v>
      </c>
      <c r="D135" s="174"/>
      <c r="E135" s="174"/>
      <c r="F135" s="174"/>
      <c r="G135" s="217" t="s">
        <v>935</v>
      </c>
      <c r="H135" s="181">
        <v>5</v>
      </c>
    </row>
    <row r="136" spans="1:8" ht="15.75">
      <c r="A136" s="170" t="s">
        <v>867</v>
      </c>
      <c r="B136" s="173" t="s">
        <v>894</v>
      </c>
      <c r="C136" s="175" t="s">
        <v>896</v>
      </c>
      <c r="D136" s="174"/>
      <c r="E136" s="174"/>
      <c r="F136" s="174"/>
      <c r="G136" s="219"/>
      <c r="H136" s="181">
        <v>5</v>
      </c>
    </row>
    <row r="137" spans="1:8" ht="15.75">
      <c r="A137" s="177" t="s">
        <v>868</v>
      </c>
      <c r="B137" s="178" t="s">
        <v>895</v>
      </c>
      <c r="C137" s="176"/>
      <c r="D137" s="176"/>
      <c r="E137" s="176"/>
      <c r="F137" s="176"/>
      <c r="G137" s="194"/>
      <c r="H137" s="182"/>
    </row>
  </sheetData>
  <mergeCells count="16">
    <mergeCell ref="G57:G58"/>
    <mergeCell ref="G21:G23"/>
    <mergeCell ref="G33:G34"/>
    <mergeCell ref="G35:G36"/>
    <mergeCell ref="G37:G40"/>
    <mergeCell ref="G42:G55"/>
    <mergeCell ref="G73:G74"/>
    <mergeCell ref="G60:G72"/>
    <mergeCell ref="G76:G87"/>
    <mergeCell ref="G89:G95"/>
    <mergeCell ref="G98:G105"/>
    <mergeCell ref="G107:G109"/>
    <mergeCell ref="G111:G115"/>
    <mergeCell ref="G118:G122"/>
    <mergeCell ref="G124:G127"/>
    <mergeCell ref="G135:G136"/>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7</vt:i4>
      </vt:variant>
      <vt:variant>
        <vt:lpstr>Именованные диапазоны</vt:lpstr>
      </vt:variant>
      <vt:variant>
        <vt:i4>3</vt:i4>
      </vt:variant>
    </vt:vector>
  </HeadingPairs>
  <TitlesOfParts>
    <vt:vector size="10" baseType="lpstr">
      <vt:lpstr>LOGO</vt:lpstr>
      <vt:lpstr>How to Use</vt:lpstr>
      <vt:lpstr>How to Score Yourself</vt:lpstr>
      <vt:lpstr>Assessment Tool</vt:lpstr>
      <vt:lpstr>Tool Mapped to Standards</vt:lpstr>
      <vt:lpstr>Lookups</vt:lpstr>
      <vt:lpstr>Statement of Aplicability</vt:lpstr>
      <vt:lpstr>'Assessment Tool'!Заголовки_для_печати</vt:lpstr>
      <vt:lpstr>'Assessment Tool'!Область_печати</vt:lpstr>
      <vt:lpstr>'How to Score Yourself'!Область_печати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victoria plugaru</dc:creator>
  <cp:lastModifiedBy>Dan Cebotari</cp:lastModifiedBy>
  <cp:lastPrinted>2017-09-14T00:14:00Z</cp:lastPrinted>
  <dcterms:created xsi:type="dcterms:W3CDTF">2012-06-17T08:59:00Z</dcterms:created>
  <dcterms:modified xsi:type="dcterms:W3CDTF">2022-11-27T11:53:23Z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1033-10.1.0.5707</vt:lpwstr>
  </property>
</Properties>
</file>